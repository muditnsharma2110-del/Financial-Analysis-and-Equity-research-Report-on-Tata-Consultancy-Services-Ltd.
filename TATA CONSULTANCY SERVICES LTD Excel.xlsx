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ditsharma/Downloads/"/>
    </mc:Choice>
  </mc:AlternateContent>
  <xr:revisionPtr revIDLastSave="0" documentId="8_{62B6CD6F-135C-CC4B-A7E1-FE0F889F4350}" xr6:coauthVersionLast="47" xr6:coauthVersionMax="47" xr10:uidLastSave="{00000000-0000-0000-0000-000000000000}"/>
  <bookViews>
    <workbookView xWindow="2960" yWindow="1560" windowWidth="28040" windowHeight="17440" activeTab="3" xr2:uid="{A62A487E-9EDB-7244-B00D-3271F71FCF77}"/>
  </bookViews>
  <sheets>
    <sheet name="Financials of TCS" sheetId="1" r:id="rId1"/>
    <sheet name="Ratios" sheetId="7" r:id="rId2"/>
    <sheet name="Peer Comparison" sheetId="8" r:id="rId3"/>
    <sheet name="FCFF" sheetId="2" r:id="rId4"/>
    <sheet name="Fixed Assets" sheetId="3" r:id="rId5"/>
    <sheet name="Net Working Capital" sheetId="4" r:id="rId6"/>
    <sheet name="WACC" sheetId="5" r:id="rId7"/>
    <sheet name="DCF" sheetId="6" r:id="rId8"/>
    <sheet name="Comparable Company Analysi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9" l="1"/>
  <c r="E9" i="9"/>
  <c r="F9" i="9"/>
  <c r="G9" i="9"/>
  <c r="H9" i="9"/>
  <c r="I9" i="9"/>
  <c r="E19" i="9"/>
  <c r="E17" i="9"/>
  <c r="P18" i="8"/>
  <c r="P19" i="8"/>
  <c r="N22" i="8"/>
  <c r="N21" i="8"/>
  <c r="N20" i="8"/>
  <c r="N19" i="8"/>
  <c r="N18" i="8"/>
  <c r="N17" i="8"/>
  <c r="M22" i="8"/>
  <c r="M21" i="8"/>
  <c r="M20" i="8"/>
  <c r="M19" i="8"/>
  <c r="M18" i="8"/>
  <c r="M17" i="8"/>
  <c r="L22" i="8"/>
  <c r="L21" i="8"/>
  <c r="L20" i="8"/>
  <c r="L19" i="8"/>
  <c r="L18" i="8"/>
  <c r="L17" i="8"/>
  <c r="K22" i="8"/>
  <c r="K21" i="8"/>
  <c r="K20" i="8"/>
  <c r="K19" i="8"/>
  <c r="K18" i="8"/>
  <c r="K17" i="8"/>
  <c r="O19" i="8"/>
  <c r="O18" i="8"/>
  <c r="O17" i="8"/>
  <c r="P17" i="8"/>
  <c r="P7" i="8"/>
  <c r="O7" i="8"/>
  <c r="G9" i="8"/>
  <c r="G28" i="8" s="1"/>
  <c r="H30" i="8"/>
  <c r="H29" i="8"/>
  <c r="G29" i="8"/>
  <c r="B42" i="7"/>
  <c r="G17" i="8"/>
  <c r="I6" i="9" s="1"/>
  <c r="G21" i="8"/>
  <c r="H21" i="8"/>
  <c r="I4" i="9" s="1"/>
  <c r="G20" i="8"/>
  <c r="H8" i="9" s="1"/>
  <c r="H20" i="8"/>
  <c r="I8" i="9" s="1"/>
  <c r="G18" i="8"/>
  <c r="H18" i="8"/>
  <c r="G19" i="8"/>
  <c r="H17" i="8"/>
  <c r="I7" i="9" s="1"/>
  <c r="F9" i="8"/>
  <c r="H9" i="8"/>
  <c r="H19" i="8" s="1"/>
  <c r="I5" i="9" s="1"/>
  <c r="H6" i="9"/>
  <c r="H4" i="9"/>
  <c r="C9" i="8"/>
  <c r="C6" i="5"/>
  <c r="C10" i="5" s="1"/>
  <c r="F28" i="8"/>
  <c r="D28" i="8"/>
  <c r="E28" i="8"/>
  <c r="E29" i="8"/>
  <c r="F29" i="8"/>
  <c r="D29" i="8"/>
  <c r="K7" i="8"/>
  <c r="L7" i="8"/>
  <c r="M7" i="8"/>
  <c r="N7" i="8"/>
  <c r="D20" i="8"/>
  <c r="E8" i="9" s="1"/>
  <c r="E20" i="8"/>
  <c r="F8" i="9" s="1"/>
  <c r="F20" i="8"/>
  <c r="G8" i="9" s="1"/>
  <c r="F17" i="8"/>
  <c r="G7" i="9" s="1"/>
  <c r="F42" i="7" s="1"/>
  <c r="E17" i="8"/>
  <c r="F7" i="9" s="1"/>
  <c r="E42" i="7" s="1"/>
  <c r="C17" i="8"/>
  <c r="D7" i="9" s="1"/>
  <c r="C42" i="7" s="1"/>
  <c r="D17" i="8"/>
  <c r="E7" i="9" s="1"/>
  <c r="D42" i="7" s="1"/>
  <c r="D9" i="8"/>
  <c r="E9" i="8"/>
  <c r="C10" i="8"/>
  <c r="C28" i="8" s="1"/>
  <c r="C8" i="8"/>
  <c r="C7" i="8"/>
  <c r="C20" i="8" s="1"/>
  <c r="D8" i="9" s="1"/>
  <c r="F6" i="8"/>
  <c r="F21" i="8" s="1"/>
  <c r="G4" i="9" s="1"/>
  <c r="E6" i="8"/>
  <c r="D6" i="8"/>
  <c r="C6" i="8"/>
  <c r="K92" i="8"/>
  <c r="F15" i="6"/>
  <c r="F18" i="6"/>
  <c r="F19" i="6" s="1"/>
  <c r="F16" i="6"/>
  <c r="H14" i="6"/>
  <c r="G14" i="6" s="1"/>
  <c r="J14" i="6"/>
  <c r="K14" i="6" s="1"/>
  <c r="C18" i="6"/>
  <c r="C18" i="5"/>
  <c r="C14" i="5"/>
  <c r="D19" i="2"/>
  <c r="E19" i="2"/>
  <c r="F19" i="2"/>
  <c r="G19" i="2"/>
  <c r="E18" i="4"/>
  <c r="E24" i="4" s="1"/>
  <c r="I28" i="2"/>
  <c r="J28" i="2" s="1"/>
  <c r="K28" i="2" s="1"/>
  <c r="L28" i="2" s="1"/>
  <c r="C24" i="2"/>
  <c r="T144" i="3"/>
  <c r="Q144" i="3"/>
  <c r="R144" i="3"/>
  <c r="S144" i="3"/>
  <c r="P144" i="3"/>
  <c r="C5" i="3"/>
  <c r="C13" i="3" s="1"/>
  <c r="E6" i="3"/>
  <c r="F6" i="3"/>
  <c r="G6" i="3"/>
  <c r="H6" i="3"/>
  <c r="E7" i="3"/>
  <c r="F7" i="3"/>
  <c r="G7" i="3"/>
  <c r="H7" i="3"/>
  <c r="D6" i="3"/>
  <c r="C7" i="3"/>
  <c r="D14" i="2"/>
  <c r="E14" i="2"/>
  <c r="F14" i="2"/>
  <c r="G14" i="2"/>
  <c r="C14" i="2"/>
  <c r="F14" i="4"/>
  <c r="G14" i="4"/>
  <c r="H14" i="4"/>
  <c r="I14" i="4"/>
  <c r="I7" i="4"/>
  <c r="H7" i="4"/>
  <c r="G7" i="4"/>
  <c r="F7" i="4"/>
  <c r="E5" i="4"/>
  <c r="F5" i="4"/>
  <c r="G5" i="4"/>
  <c r="H5" i="4"/>
  <c r="I5" i="4"/>
  <c r="I9" i="4" s="1"/>
  <c r="G18" i="2" s="1"/>
  <c r="D5" i="4"/>
  <c r="D9" i="4" s="1"/>
  <c r="D8" i="2"/>
  <c r="F20" i="4" s="1"/>
  <c r="F30" i="4" s="1"/>
  <c r="E8" i="2"/>
  <c r="G20" i="4" s="1"/>
  <c r="G30" i="4" s="1"/>
  <c r="F8" i="2"/>
  <c r="H20" i="4" s="1"/>
  <c r="H30" i="4" s="1"/>
  <c r="G8" i="2"/>
  <c r="I20" i="4" s="1"/>
  <c r="I30" i="4" s="1"/>
  <c r="J30" i="4" s="1"/>
  <c r="C8" i="2"/>
  <c r="C27" i="2" s="1"/>
  <c r="G6" i="2"/>
  <c r="I19" i="4" s="1"/>
  <c r="I23" i="4" s="1"/>
  <c r="F6" i="2"/>
  <c r="H19" i="4" s="1"/>
  <c r="H23" i="4" s="1"/>
  <c r="E6" i="2"/>
  <c r="G19" i="4" s="1"/>
  <c r="G23" i="4" s="1"/>
  <c r="D6" i="2"/>
  <c r="F19" i="4" s="1"/>
  <c r="F23" i="4" s="1"/>
  <c r="C6" i="2"/>
  <c r="C7" i="2" s="1"/>
  <c r="D5" i="2"/>
  <c r="D24" i="2" s="1"/>
  <c r="E5" i="2"/>
  <c r="G5" i="2"/>
  <c r="F5" i="2"/>
  <c r="G98" i="2"/>
  <c r="D14" i="4"/>
  <c r="E4" i="4"/>
  <c r="F4" i="4" s="1"/>
  <c r="G4" i="4" s="1"/>
  <c r="H4" i="4" s="1"/>
  <c r="I4" i="4" s="1"/>
  <c r="J4" i="4" s="1"/>
  <c r="K4" i="4" s="1"/>
  <c r="L4" i="4" s="1"/>
  <c r="M4" i="4" s="1"/>
  <c r="N4" i="4" s="1"/>
  <c r="C15" i="2"/>
  <c r="D7" i="3" s="1"/>
  <c r="E14" i="4"/>
  <c r="C19" i="2" s="1"/>
  <c r="D4" i="3"/>
  <c r="E4" i="3" s="1"/>
  <c r="F4" i="3" s="1"/>
  <c r="G4" i="3" s="1"/>
  <c r="H4" i="3" s="1"/>
  <c r="I4" i="3" s="1"/>
  <c r="J4" i="3" s="1"/>
  <c r="D18" i="9" l="1"/>
  <c r="C17" i="5"/>
  <c r="D19" i="9"/>
  <c r="F19" i="9" s="1"/>
  <c r="G19" i="9" s="1"/>
  <c r="H28" i="8"/>
  <c r="H7" i="9"/>
  <c r="G42" i="7" s="1"/>
  <c r="C8" i="5"/>
  <c r="C11" i="5" s="1"/>
  <c r="E19" i="4"/>
  <c r="E23" i="4" s="1"/>
  <c r="J23" i="4" s="1"/>
  <c r="F24" i="2"/>
  <c r="C19" i="8"/>
  <c r="D5" i="9" s="1"/>
  <c r="E19" i="8"/>
  <c r="F5" i="9" s="1"/>
  <c r="C18" i="8"/>
  <c r="D6" i="9" s="1"/>
  <c r="G24" i="2"/>
  <c r="F27" i="2"/>
  <c r="D19" i="8"/>
  <c r="E5" i="9" s="1"/>
  <c r="E18" i="8"/>
  <c r="F6" i="9" s="1"/>
  <c r="D18" i="8"/>
  <c r="E6" i="9" s="1"/>
  <c r="D16" i="9" s="1"/>
  <c r="H18" i="4"/>
  <c r="H28" i="4" s="1"/>
  <c r="D21" i="8"/>
  <c r="E4" i="9" s="1"/>
  <c r="C26" i="2"/>
  <c r="E24" i="2"/>
  <c r="F26" i="2"/>
  <c r="C21" i="8"/>
  <c r="D4" i="9" s="1"/>
  <c r="H5" i="2"/>
  <c r="J18" i="4" s="1"/>
  <c r="G27" i="2"/>
  <c r="I18" i="4"/>
  <c r="I27" i="4" s="1"/>
  <c r="J27" i="4" s="1"/>
  <c r="K27" i="4" s="1"/>
  <c r="E21" i="8"/>
  <c r="F4" i="9" s="1"/>
  <c r="F18" i="8"/>
  <c r="G6" i="9" s="1"/>
  <c r="G26" i="2"/>
  <c r="E27" i="2"/>
  <c r="C8" i="3"/>
  <c r="D5" i="3" s="1"/>
  <c r="D13" i="3" s="1"/>
  <c r="D27" i="2"/>
  <c r="F18" i="4"/>
  <c r="F28" i="4" s="1"/>
  <c r="E26" i="2"/>
  <c r="D26" i="2"/>
  <c r="C12" i="3"/>
  <c r="F19" i="8"/>
  <c r="G5" i="9" s="1"/>
  <c r="G18" i="4"/>
  <c r="G28" i="4" s="1"/>
  <c r="E20" i="4"/>
  <c r="E30" i="4" s="1"/>
  <c r="G17" i="2"/>
  <c r="I29" i="4"/>
  <c r="J29" i="4" s="1"/>
  <c r="K29" i="4" s="1"/>
  <c r="H29" i="4"/>
  <c r="G29" i="4"/>
  <c r="F29" i="4"/>
  <c r="K30" i="4"/>
  <c r="E27" i="4"/>
  <c r="E26" i="4"/>
  <c r="E28" i="4"/>
  <c r="E22" i="4"/>
  <c r="F9" i="4"/>
  <c r="D18" i="2" s="1"/>
  <c r="D17" i="2" s="1"/>
  <c r="H9" i="4"/>
  <c r="F18" i="2" s="1"/>
  <c r="F17" i="2" s="1"/>
  <c r="G9" i="4"/>
  <c r="E18" i="2" s="1"/>
  <c r="E17" i="2" s="1"/>
  <c r="E9" i="4"/>
  <c r="C18" i="2" s="1"/>
  <c r="C17" i="2" s="1"/>
  <c r="C16" i="2" s="1"/>
  <c r="D7" i="2"/>
  <c r="D9" i="2" s="1"/>
  <c r="D11" i="2" s="1"/>
  <c r="F7" i="2"/>
  <c r="F9" i="2" s="1"/>
  <c r="F11" i="2" s="1"/>
  <c r="C9" i="2"/>
  <c r="C11" i="2" s="1"/>
  <c r="C28" i="2" s="1"/>
  <c r="E7" i="2"/>
  <c r="E9" i="2" s="1"/>
  <c r="E11" i="2" s="1"/>
  <c r="G7" i="2"/>
  <c r="G9" i="2" s="1"/>
  <c r="G11" i="2" s="1"/>
  <c r="D15" i="9" l="1"/>
  <c r="D17" i="9"/>
  <c r="F17" i="9" s="1"/>
  <c r="G17" i="9" s="1"/>
  <c r="D14" i="9"/>
  <c r="F14" i="9" s="1"/>
  <c r="G14" i="9" s="1"/>
  <c r="C20" i="5"/>
  <c r="C14" i="6" s="1"/>
  <c r="I26" i="4"/>
  <c r="H24" i="4"/>
  <c r="H22" i="4"/>
  <c r="H27" i="4"/>
  <c r="H26" i="4"/>
  <c r="I28" i="4"/>
  <c r="J28" i="4" s="1"/>
  <c r="J12" i="4" s="1"/>
  <c r="I22" i="4"/>
  <c r="J13" i="4"/>
  <c r="F22" i="4"/>
  <c r="G22" i="4"/>
  <c r="G26" i="4"/>
  <c r="D8" i="3"/>
  <c r="E5" i="3" s="1"/>
  <c r="E8" i="3" s="1"/>
  <c r="F5" i="3" s="1"/>
  <c r="C13" i="2"/>
  <c r="C20" i="2" s="1"/>
  <c r="D6" i="6" s="1"/>
  <c r="G24" i="4"/>
  <c r="G27" i="4"/>
  <c r="H27" i="2"/>
  <c r="I27" i="2" s="1"/>
  <c r="J27" i="2" s="1"/>
  <c r="K27" i="2" s="1"/>
  <c r="L27" i="2" s="1"/>
  <c r="I5" i="2"/>
  <c r="E14" i="9" s="1"/>
  <c r="E18" i="9" s="1"/>
  <c r="F18" i="9" s="1"/>
  <c r="G18" i="9" s="1"/>
  <c r="D16" i="2"/>
  <c r="H26" i="2"/>
  <c r="I26" i="2" s="1"/>
  <c r="D12" i="3"/>
  <c r="F26" i="4"/>
  <c r="F27" i="4"/>
  <c r="I24" i="4"/>
  <c r="E16" i="2"/>
  <c r="F24" i="4"/>
  <c r="E29" i="4"/>
  <c r="F13" i="2"/>
  <c r="F28" i="2"/>
  <c r="D13" i="2"/>
  <c r="D28" i="2"/>
  <c r="G13" i="2"/>
  <c r="G28" i="2"/>
  <c r="E13" i="2"/>
  <c r="E28" i="2"/>
  <c r="F16" i="2"/>
  <c r="G16" i="2"/>
  <c r="K23" i="4"/>
  <c r="L30" i="4"/>
  <c r="L27" i="4"/>
  <c r="L29" i="4"/>
  <c r="K28" i="4" l="1"/>
  <c r="J22" i="4"/>
  <c r="J5" i="4" s="1"/>
  <c r="H8" i="2"/>
  <c r="J20" i="4" s="1"/>
  <c r="J11" i="4" s="1"/>
  <c r="I6" i="2"/>
  <c r="K19" i="4" s="1"/>
  <c r="K10" i="4" s="1"/>
  <c r="J26" i="2"/>
  <c r="K26" i="2" s="1"/>
  <c r="L26" i="2" s="1"/>
  <c r="F20" i="2"/>
  <c r="G6" i="6" s="1"/>
  <c r="J26" i="4"/>
  <c r="J7" i="4" s="1"/>
  <c r="H6" i="2"/>
  <c r="H7" i="2" s="1"/>
  <c r="E13" i="3"/>
  <c r="E12" i="3"/>
  <c r="E20" i="2"/>
  <c r="F6" i="6" s="1"/>
  <c r="D20" i="2"/>
  <c r="E6" i="6" s="1"/>
  <c r="J24" i="4"/>
  <c r="J5" i="2"/>
  <c r="I8" i="2"/>
  <c r="K20" i="4" s="1"/>
  <c r="K8" i="4" s="1"/>
  <c r="K18" i="4"/>
  <c r="K13" i="4" s="1"/>
  <c r="L28" i="4"/>
  <c r="M28" i="4" s="1"/>
  <c r="G20" i="2"/>
  <c r="H6" i="6" s="1"/>
  <c r="M27" i="4"/>
  <c r="M30" i="4"/>
  <c r="L23" i="4"/>
  <c r="M29" i="4"/>
  <c r="F8" i="3"/>
  <c r="G5" i="3" s="1"/>
  <c r="F12" i="3"/>
  <c r="F13" i="3"/>
  <c r="K22" i="4" l="1"/>
  <c r="J8" i="4"/>
  <c r="H9" i="2"/>
  <c r="I7" i="2"/>
  <c r="I9" i="2" s="1"/>
  <c r="E15" i="9" s="1"/>
  <c r="F15" i="9" s="1"/>
  <c r="G15" i="9" s="1"/>
  <c r="K26" i="4"/>
  <c r="L26" i="4" s="1"/>
  <c r="J19" i="4"/>
  <c r="J10" i="4" s="1"/>
  <c r="J14" i="4" s="1"/>
  <c r="H19" i="2" s="1"/>
  <c r="K5" i="2"/>
  <c r="J8" i="2"/>
  <c r="L20" i="4" s="1"/>
  <c r="L18" i="4"/>
  <c r="J6" i="2"/>
  <c r="K11" i="4"/>
  <c r="J6" i="4"/>
  <c r="J9" i="4" s="1"/>
  <c r="H18" i="2" s="1"/>
  <c r="K24" i="4"/>
  <c r="K12" i="4"/>
  <c r="M26" i="4"/>
  <c r="N26" i="4" s="1"/>
  <c r="N28" i="4"/>
  <c r="K5" i="4"/>
  <c r="L22" i="4"/>
  <c r="N27" i="4"/>
  <c r="M23" i="4"/>
  <c r="N30" i="4"/>
  <c r="N29" i="4"/>
  <c r="G8" i="3"/>
  <c r="H5" i="3" s="1"/>
  <c r="G12" i="3"/>
  <c r="G13" i="3"/>
  <c r="L7" i="4" l="1"/>
  <c r="K7" i="4"/>
  <c r="H17" i="2"/>
  <c r="H16" i="2" s="1"/>
  <c r="K14" i="4"/>
  <c r="I19" i="2" s="1"/>
  <c r="L11" i="4"/>
  <c r="L8" i="4"/>
  <c r="L19" i="4"/>
  <c r="L10" i="4" s="1"/>
  <c r="J7" i="2"/>
  <c r="J9" i="2" s="1"/>
  <c r="K6" i="4"/>
  <c r="L24" i="4"/>
  <c r="L12" i="4"/>
  <c r="L13" i="4"/>
  <c r="L5" i="2"/>
  <c r="M18" i="4"/>
  <c r="M7" i="4" s="1"/>
  <c r="K8" i="2"/>
  <c r="M20" i="4" s="1"/>
  <c r="K6" i="2"/>
  <c r="M19" i="4" s="1"/>
  <c r="M10" i="4" s="1"/>
  <c r="M22" i="4"/>
  <c r="L5" i="4"/>
  <c r="N23" i="4"/>
  <c r="H8" i="3"/>
  <c r="I5" i="3" s="1"/>
  <c r="H13" i="3"/>
  <c r="I13" i="3" s="1"/>
  <c r="J13" i="3" s="1"/>
  <c r="K13" i="3" s="1"/>
  <c r="L13" i="3" s="1"/>
  <c r="M13" i="3" s="1"/>
  <c r="H12" i="3"/>
  <c r="I12" i="3" s="1"/>
  <c r="J12" i="3" s="1"/>
  <c r="K12" i="3" s="1"/>
  <c r="L12" i="3" s="1"/>
  <c r="M12" i="3" s="1"/>
  <c r="K9" i="4" l="1"/>
  <c r="I18" i="2" s="1"/>
  <c r="I17" i="2" s="1"/>
  <c r="I16" i="2" s="1"/>
  <c r="K7" i="2"/>
  <c r="K9" i="2" s="1"/>
  <c r="N18" i="4"/>
  <c r="L6" i="2"/>
  <c r="N19" i="4" s="1"/>
  <c r="N10" i="4" s="1"/>
  <c r="L8" i="2"/>
  <c r="N20" i="4" s="1"/>
  <c r="L14" i="4"/>
  <c r="J19" i="2" s="1"/>
  <c r="M8" i="4"/>
  <c r="M11" i="4"/>
  <c r="L6" i="4"/>
  <c r="L9" i="4" s="1"/>
  <c r="J18" i="2" s="1"/>
  <c r="M24" i="4"/>
  <c r="M12" i="4"/>
  <c r="M13" i="4"/>
  <c r="N22" i="4"/>
  <c r="N5" i="4" s="1"/>
  <c r="M5" i="4"/>
  <c r="I7" i="3"/>
  <c r="H15" i="2" s="1"/>
  <c r="I6" i="3"/>
  <c r="H10" i="2" s="1"/>
  <c r="L7" i="2" l="1"/>
  <c r="M14" i="4"/>
  <c r="K19" i="2" s="1"/>
  <c r="J17" i="2"/>
  <c r="J16" i="2" s="1"/>
  <c r="N11" i="4"/>
  <c r="N8" i="4"/>
  <c r="L9" i="2"/>
  <c r="N24" i="4"/>
  <c r="N6" i="4" s="1"/>
  <c r="M6" i="4"/>
  <c r="M9" i="4" s="1"/>
  <c r="K18" i="2" s="1"/>
  <c r="K17" i="2" s="1"/>
  <c r="K16" i="2" s="1"/>
  <c r="N7" i="4"/>
  <c r="N13" i="4"/>
  <c r="N12" i="4"/>
  <c r="H11" i="2"/>
  <c r="H12" i="2" s="1"/>
  <c r="H13" i="2" s="1"/>
  <c r="H14" i="2"/>
  <c r="I8" i="3"/>
  <c r="J5" i="3" s="1"/>
  <c r="N9" i="4" l="1"/>
  <c r="L18" i="2" s="1"/>
  <c r="N14" i="4"/>
  <c r="L19" i="2" s="1"/>
  <c r="H20" i="2"/>
  <c r="I6" i="6" s="1"/>
  <c r="J6" i="3"/>
  <c r="I10" i="2" s="1"/>
  <c r="J7" i="3"/>
  <c r="I15" i="2" s="1"/>
  <c r="I9" i="6" l="1"/>
  <c r="L17" i="2"/>
  <c r="L16" i="2" s="1"/>
  <c r="I11" i="2"/>
  <c r="I14" i="2"/>
  <c r="J8" i="3"/>
  <c r="K5" i="3" s="1"/>
  <c r="I12" i="2" l="1"/>
  <c r="I13" i="2" s="1"/>
  <c r="E16" i="9"/>
  <c r="F16" i="9" s="1"/>
  <c r="G16" i="9" s="1"/>
  <c r="K7" i="3"/>
  <c r="J15" i="2" s="1"/>
  <c r="K6" i="3"/>
  <c r="I20" i="2" l="1"/>
  <c r="J6" i="6" s="1"/>
  <c r="J9" i="6"/>
  <c r="K8" i="3"/>
  <c r="L5" i="3" s="1"/>
  <c r="J10" i="2"/>
  <c r="J11" i="2" l="1"/>
  <c r="J12" i="2" s="1"/>
  <c r="J13" i="2" s="1"/>
  <c r="J14" i="2"/>
  <c r="L7" i="3"/>
  <c r="K15" i="2" s="1"/>
  <c r="L6" i="3"/>
  <c r="J20" i="2" l="1"/>
  <c r="K6" i="6" s="1"/>
  <c r="L8" i="3"/>
  <c r="M5" i="3" s="1"/>
  <c r="K10" i="2"/>
  <c r="K9" i="6" l="1"/>
  <c r="K11" i="2"/>
  <c r="K12" i="2" s="1"/>
  <c r="K13" i="2" s="1"/>
  <c r="K14" i="2"/>
  <c r="M7" i="3"/>
  <c r="L15" i="2" s="1"/>
  <c r="M6" i="3"/>
  <c r="L10" i="2" s="1"/>
  <c r="L11" i="2" l="1"/>
  <c r="L12" i="2" s="1"/>
  <c r="L13" i="2" s="1"/>
  <c r="L14" i="2"/>
  <c r="K20" i="2"/>
  <c r="L6" i="6" s="1"/>
  <c r="M8" i="3"/>
  <c r="L20" i="2" l="1"/>
  <c r="M6" i="6" s="1"/>
  <c r="M9" i="6" s="1"/>
  <c r="C15" i="6" s="1"/>
  <c r="C16" i="6" s="1"/>
  <c r="L9" i="6"/>
  <c r="C12" i="6" l="1"/>
  <c r="C17" i="6" s="1"/>
  <c r="C21" i="6" s="1"/>
  <c r="C23" i="6" s="1"/>
  <c r="F14" i="6" s="1"/>
</calcChain>
</file>

<file path=xl/sharedStrings.xml><?xml version="1.0" encoding="utf-8"?>
<sst xmlns="http://schemas.openxmlformats.org/spreadsheetml/2006/main" count="570" uniqueCount="301">
  <si>
    <t>Trade Payables</t>
  </si>
  <si>
    <t>Other Current Liabilities</t>
  </si>
  <si>
    <t>Intangible Assets</t>
  </si>
  <si>
    <t>Inventories</t>
  </si>
  <si>
    <t>Gross Profit</t>
  </si>
  <si>
    <t>EBITDA</t>
  </si>
  <si>
    <t>Receivables</t>
  </si>
  <si>
    <t>Accounts Payable</t>
  </si>
  <si>
    <t>Free Cash Flow</t>
  </si>
  <si>
    <t>Fiscal Year</t>
  </si>
  <si>
    <t>2026E</t>
  </si>
  <si>
    <t>2027E</t>
  </si>
  <si>
    <t>2028E</t>
  </si>
  <si>
    <t>Revenue</t>
  </si>
  <si>
    <t>COGS</t>
  </si>
  <si>
    <t>Depreciation &amp; Amortization</t>
  </si>
  <si>
    <t>Operating Profit (EBIT)</t>
  </si>
  <si>
    <t>Operating Taxes</t>
  </si>
  <si>
    <t>NOPAT (Net Operating Profit After Taxes)</t>
  </si>
  <si>
    <t>(+) Depreciation &amp; Amortization</t>
  </si>
  <si>
    <t>(-) Capital Expenditures</t>
  </si>
  <si>
    <t>(-) Change in NWC</t>
  </si>
  <si>
    <t>NWC</t>
  </si>
  <si>
    <t>Current Assets</t>
  </si>
  <si>
    <t>Current Liabilitites</t>
  </si>
  <si>
    <t>Unlevered Free Cash Flow</t>
  </si>
  <si>
    <t>Assumptions</t>
  </si>
  <si>
    <t>Revenue Growth</t>
  </si>
  <si>
    <t>SG&amp;A % of Revenue</t>
  </si>
  <si>
    <t>Tax % of EBIT</t>
  </si>
  <si>
    <t>2029E</t>
  </si>
  <si>
    <t>Fixed Assets Schedule</t>
  </si>
  <si>
    <t>Beginning PP&amp;E</t>
  </si>
  <si>
    <t>D&amp;A</t>
  </si>
  <si>
    <t>CapEx</t>
  </si>
  <si>
    <t>Ending PP&amp;E</t>
  </si>
  <si>
    <t>D&amp;A as a % of Beginning PP&amp;E</t>
  </si>
  <si>
    <t>CapEx as a % of Beginning PP&amp;E</t>
  </si>
  <si>
    <t>Accounts Receivables</t>
  </si>
  <si>
    <t>Other Current Assets</t>
  </si>
  <si>
    <t>Prepaid Exp.</t>
  </si>
  <si>
    <t>Accrued Expenses</t>
  </si>
  <si>
    <t>Unearned Revenue</t>
  </si>
  <si>
    <t>Current Liabilities</t>
  </si>
  <si>
    <t>Days Sales Outstanding (DSO)</t>
  </si>
  <si>
    <t>Days Payable Outstanding (DPO)</t>
  </si>
  <si>
    <t>Days Sales Outstanding (DSO) Other Receivables</t>
  </si>
  <si>
    <t>Other Current Assets as a % of Revenue</t>
  </si>
  <si>
    <t>Other Current Liabilities as a % of Revenue</t>
  </si>
  <si>
    <t>Unearned Revenue, Current</t>
  </si>
  <si>
    <t>Prepaid Expense</t>
  </si>
  <si>
    <t>Operating Expense</t>
  </si>
  <si>
    <t>Weighted Average Cost of Capital (WACC)</t>
  </si>
  <si>
    <t>Cost of Debt</t>
  </si>
  <si>
    <t>Tax Rate</t>
  </si>
  <si>
    <t>D/(D+E)</t>
  </si>
  <si>
    <t>After Tax Cost of Debt</t>
  </si>
  <si>
    <t>Expected Market Return</t>
  </si>
  <si>
    <t>Market Risk Premium</t>
  </si>
  <si>
    <t>Beta</t>
  </si>
  <si>
    <t>E/(D+E)</t>
  </si>
  <si>
    <t>Cost of Equity</t>
  </si>
  <si>
    <t>WACC</t>
  </si>
  <si>
    <t>Total Liabilities</t>
  </si>
  <si>
    <t>Projection Year</t>
  </si>
  <si>
    <t>Present Value of Free Cash Flow</t>
  </si>
  <si>
    <t>Implied Share Price Calculation</t>
  </si>
  <si>
    <t>Sensitivity Table</t>
  </si>
  <si>
    <t>Sum of PV of FCF</t>
  </si>
  <si>
    <t>Growth Rate</t>
  </si>
  <si>
    <t>Terminal Value</t>
  </si>
  <si>
    <t>PV of Terminal Value</t>
  </si>
  <si>
    <t>Enterprise Value</t>
  </si>
  <si>
    <t>(+) Cash</t>
  </si>
  <si>
    <t>(-) Debt</t>
  </si>
  <si>
    <t>(-) Minority Interest</t>
  </si>
  <si>
    <t>Equity Value</t>
  </si>
  <si>
    <t>Implied Share Price</t>
  </si>
  <si>
    <t>Operating Profit</t>
  </si>
  <si>
    <t>OPM %</t>
  </si>
  <si>
    <t>Interest</t>
  </si>
  <si>
    <t>Depreciation</t>
  </si>
  <si>
    <t>Tax %</t>
  </si>
  <si>
    <t>Dividend Payout %</t>
  </si>
  <si>
    <t>Inventory</t>
  </si>
  <si>
    <t>Other Receivables( Intrest Receivable)</t>
  </si>
  <si>
    <t>Cost of Services</t>
  </si>
  <si>
    <t>REVENUE</t>
  </si>
  <si>
    <t>Cash from Operating Activity 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</si>
  <si>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</si>
  <si>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</si>
  <si>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</si>
  <si>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</si>
  <si>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</si>
  <si>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</si>
  <si>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 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</si>
  <si>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</si>
  <si>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</si>
  <si>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</si>
  <si>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</si>
  <si>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</si>
  <si>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</si>
  <si>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</si>
  <si>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Inter corporate deposits</t>
  </si>
  <si>
    <t>Other investing items</t>
  </si>
  <si>
    <t>Cash from Financing Activity 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</si>
  <si>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</si>
  <si>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</si>
  <si>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</si>
  <si>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</si>
  <si>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</si>
  <si>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</si>
  <si>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</si>
  <si>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</si>
  <si>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>CFO/OP</t>
  </si>
  <si>
    <t>Sales -</t>
  </si>
  <si>
    <t>Sales Growth %</t>
  </si>
  <si>
    <t>Expenses -</t>
  </si>
  <si>
    <t>Material Cost % +</t>
  </si>
  <si>
    <t>Manufacturing Cost %</t>
  </si>
  <si>
    <t>Employee Cost %</t>
  </si>
  <si>
    <t>Other Cost %</t>
  </si>
  <si>
    <t>Other Income -</t>
  </si>
  <si>
    <t>Exceptional items</t>
  </si>
  <si>
    <t>Other income normal</t>
  </si>
  <si>
    <t>Profit before tax</t>
  </si>
  <si>
    <t>Net Profit -</t>
  </si>
  <si>
    <t>Minority share</t>
  </si>
  <si>
    <t>Exceptional items AT</t>
  </si>
  <si>
    <t>Profit excl Excep</t>
  </si>
  <si>
    <t>Profit for PE</t>
  </si>
  <si>
    <t>Profit for EPS</t>
  </si>
  <si>
    <t>Profit Growth %</t>
  </si>
  <si>
    <t>EPS in Rs</t>
  </si>
  <si>
    <t>Income Statement of Tata Consultancy Services</t>
  </si>
  <si>
    <t>Equity Capital</t>
  </si>
  <si>
    <t>Reserves</t>
  </si>
  <si>
    <t>Borrowings -</t>
  </si>
  <si>
    <t>Long term Borrowings</t>
  </si>
  <si>
    <t>Short term Borrowings</t>
  </si>
  <si>
    <t>Lease Liabilities</t>
  </si>
  <si>
    <t>Other Borrowings</t>
  </si>
  <si>
    <t>Other Liabilities -</t>
  </si>
  <si>
    <t>Non controlling int</t>
  </si>
  <si>
    <t>Advance from Customers</t>
  </si>
  <si>
    <t>Other liability items</t>
  </si>
  <si>
    <t>Fixed Assets -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</si>
  <si>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</si>
  <si>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</si>
  <si>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</si>
  <si>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</si>
  <si>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</si>
  <si>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</si>
  <si>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</si>
  <si>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Other fixed assets</t>
  </si>
  <si>
    <t>Gross Block</t>
  </si>
  <si>
    <t>Accumulated Depreciation</t>
  </si>
  <si>
    <t>CWIP</t>
  </si>
  <si>
    <t>Investments</t>
  </si>
  <si>
    <t>Other Assets -</t>
  </si>
  <si>
    <t>Trade receivables +</t>
  </si>
  <si>
    <t>Cash Equivalents</t>
  </si>
  <si>
    <t>Loans n Advances</t>
  </si>
  <si>
    <t>Other asset items</t>
  </si>
  <si>
    <t>Total Assets</t>
  </si>
  <si>
    <t>Balance Sheet of Tata Consultancy Services</t>
  </si>
  <si>
    <t>Cash Flow Statement of Tata Consultancy Services</t>
  </si>
  <si>
    <t>2030E</t>
  </si>
  <si>
    <t>Total Shares Outstanding(Cr.)</t>
  </si>
  <si>
    <t>PROFITABILITY RATIOS</t>
  </si>
  <si>
    <t>PBDIT Margin (%)</t>
  </si>
  <si>
    <t>PBIT Margin (%)</t>
  </si>
  <si>
    <t>PBT Margin (%)</t>
  </si>
  <si>
    <t>Net Profit Margin (%)</t>
  </si>
  <si>
    <t>Return on Networth / Equity (%)</t>
  </si>
  <si>
    <t>Return on Capital Employed (%)</t>
  </si>
  <si>
    <t>Return on Assets (%)</t>
  </si>
  <si>
    <t>Total Debt/Equity (X)</t>
  </si>
  <si>
    <t>Asset Turnover Ratio (%)</t>
  </si>
  <si>
    <t>LIQUIDITY RATIOS</t>
  </si>
  <si>
    <t>Current Ratio (X)</t>
  </si>
  <si>
    <t>Quick Ratio (X)</t>
  </si>
  <si>
    <t>Inventory Turnover Ratio (X)</t>
  </si>
  <si>
    <t>Dividend Payout Ratio (NP) (%)</t>
  </si>
  <si>
    <t>Dividend Payout Ratio (CP) (%)</t>
  </si>
  <si>
    <t>Earnings Retention Ratio (%)</t>
  </si>
  <si>
    <t>Cash Earnings Retention Ratio (%)</t>
  </si>
  <si>
    <t>VALUATION RATIOS</t>
  </si>
  <si>
    <t>Enterprise Value (Cr.)</t>
  </si>
  <si>
    <t>EV/Net Operating Revenue (X)</t>
  </si>
  <si>
    <t>EV/EBITDA (X)</t>
  </si>
  <si>
    <t>MarketCap/Net Operating Revenue (X)</t>
  </si>
  <si>
    <t>Retention Ratios (%)</t>
  </si>
  <si>
    <t>Price/BV (X)</t>
  </si>
  <si>
    <t>Price/Net Operating Revenue</t>
  </si>
  <si>
    <t>Earnings Yield</t>
  </si>
  <si>
    <t>Wipro</t>
  </si>
  <si>
    <t>Infosys</t>
  </si>
  <si>
    <t>PER SHARE RATIOS</t>
  </si>
  <si>
    <t>Basic EPS (Rs.)</t>
  </si>
  <si>
    <t>Diluted EPS (Rs.)</t>
  </si>
  <si>
    <t>Cash EPS (Rs.)</t>
  </si>
  <si>
    <t>Book Value [ExclRevalReserve]/Share (Rs.)</t>
  </si>
  <si>
    <t>Book Value [InclRevalReserve]/Share (Rs.)</t>
  </si>
  <si>
    <t>Dividend / Share(Rs.)</t>
  </si>
  <si>
    <t>Revenue from Operations/Share (Rs.)</t>
  </si>
  <si>
    <t>PBDIT/Share (Rs.)</t>
  </si>
  <si>
    <t>PBIT/Share (Rs.)</t>
  </si>
  <si>
    <t>PBT/Share (Rs.)</t>
  </si>
  <si>
    <t>Net Profit/Share (Rs.)</t>
  </si>
  <si>
    <t>Key Financial Ratios of Wipro (in Rs. Cr.)</t>
  </si>
  <si>
    <t>TCS</t>
  </si>
  <si>
    <t>Tech Mahindra</t>
  </si>
  <si>
    <t>Market Cap</t>
  </si>
  <si>
    <t>Enterprise Value (EV)</t>
  </si>
  <si>
    <t>EBIT</t>
  </si>
  <si>
    <t>Net Profit</t>
  </si>
  <si>
    <t>P / E</t>
  </si>
  <si>
    <t>EV / EBIT</t>
  </si>
  <si>
    <t>EV / EBITDA</t>
  </si>
  <si>
    <t>P / Sales</t>
  </si>
  <si>
    <t>EV / Sales</t>
  </si>
  <si>
    <t>Profitability</t>
  </si>
  <si>
    <t>Ratio</t>
  </si>
  <si>
    <t>Gross Margin</t>
  </si>
  <si>
    <t>Operating Margin (EBIT)</t>
  </si>
  <si>
    <t>Net Profit Margin</t>
  </si>
  <si>
    <t>ROE</t>
  </si>
  <si>
    <t>ROCE</t>
  </si>
  <si>
    <t>ROA</t>
  </si>
  <si>
    <t>Efficiency / Working Capital</t>
  </si>
  <si>
    <t>Debtor Days (DSO)</t>
  </si>
  <si>
    <t>Payable Days (DPO)</t>
  </si>
  <si>
    <t>Net Working Capital Days</t>
  </si>
  <si>
    <t>Asset Turnover</t>
  </si>
  <si>
    <t>Debt / Equity</t>
  </si>
  <si>
    <t>Current Ratio</t>
  </si>
  <si>
    <t>Interest Coverage</t>
  </si>
  <si>
    <t>Cash Flow Quality</t>
  </si>
  <si>
    <t>CFO / Net Profit</t>
  </si>
  <si>
    <t>Free Cash Flow / Net Profit</t>
  </si>
  <si>
    <t>Capex / Revenue</t>
  </si>
  <si>
    <t xml:space="preserve"> Valuation Multiples</t>
  </si>
  <si>
    <t xml:space="preserve"> Leverage &amp; Liquidity</t>
  </si>
  <si>
    <t>EBIT(tcs)</t>
  </si>
  <si>
    <t>Stock price as on 30th March,2026</t>
  </si>
  <si>
    <t>1.71x</t>
  </si>
  <si>
    <t>1.14x</t>
  </si>
  <si>
    <t>0.73x</t>
  </si>
  <si>
    <t>1.25x</t>
  </si>
  <si>
    <t>2.18x</t>
  </si>
  <si>
    <t>1.87x</t>
  </si>
  <si>
    <t>91.4x</t>
  </si>
  <si>
    <t>12.9x</t>
  </si>
  <si>
    <t>18.6x</t>
  </si>
  <si>
    <t>Key Financial Ratios of Infosys (in Rs. Cr.)</t>
  </si>
  <si>
    <t>Key Financial Ratios of Tata Consultancy Services(in Rs. Cr.)</t>
  </si>
  <si>
    <t>Key Financial Ratios of Tech Mahindra (in Rs. Cr.)</t>
  </si>
  <si>
    <t>Equity (in Rs. Cr)</t>
  </si>
  <si>
    <t>Debt (in Rs. Cr)</t>
  </si>
  <si>
    <t>Risk Free Rate (10-Yr Gov Bond Yield)</t>
  </si>
  <si>
    <t>Unlevered Free Cash Flow (in Rs. Cr.)</t>
  </si>
  <si>
    <t>Unlevered Free Cash Flow (in Rs. Cr)</t>
  </si>
  <si>
    <t>Ratio / Metric (in Rs. Cr)</t>
  </si>
  <si>
    <t xml:space="preserve">Multiple </t>
  </si>
  <si>
    <t>Net Working Capital (in Rs. Cr)</t>
  </si>
  <si>
    <t>Tata Consultancy Services Vs. Peers</t>
  </si>
  <si>
    <t>Multiple</t>
  </si>
  <si>
    <t>EV / Revenue</t>
  </si>
  <si>
    <t>Tata Consultancy Services</t>
  </si>
  <si>
    <t>LTI Mindtree</t>
  </si>
  <si>
    <t>HCL Tech</t>
  </si>
  <si>
    <t>2.1x</t>
  </si>
  <si>
    <t>2.43x</t>
  </si>
  <si>
    <t>LTI MindTree</t>
  </si>
  <si>
    <t>These IT Services companies operates with negligible leverage, reflected in a near- zero D/E ratio.</t>
  </si>
  <si>
    <t>KEY FINANCIAL RATIOS OF LTIMINDTREE (in Rs. Cr.)</t>
  </si>
  <si>
    <t>NP After MI And SOA / Share (Rs.)</t>
  </si>
  <si>
    <t>NP After MI And SOA Margin (%)</t>
  </si>
  <si>
    <t>Return on Networth/Equity (%)</t>
  </si>
  <si>
    <t>COVERAGE RATIOS</t>
  </si>
  <si>
    <t>Interest Coverage Ratios (%)</t>
  </si>
  <si>
    <t>Interest Coverage Ratios (Post Tax) (%)</t>
  </si>
  <si>
    <t>KEY FINANCIAL RATIOS OF HCL TECHNOLOGIES (in Rs. Cr.)</t>
  </si>
  <si>
    <t>0.10x</t>
  </si>
  <si>
    <t>1.17x</t>
  </si>
  <si>
    <t>1.63x</t>
  </si>
  <si>
    <t>0.02x</t>
  </si>
  <si>
    <t>0.1x</t>
  </si>
  <si>
    <t>2.07x</t>
  </si>
  <si>
    <t>3.60x</t>
  </si>
  <si>
    <t>91.8x</t>
  </si>
  <si>
    <t>36.12x</t>
  </si>
  <si>
    <t>22.28x</t>
  </si>
  <si>
    <t>Peer Median</t>
  </si>
  <si>
    <t>Target Metric</t>
  </si>
  <si>
    <t>Implied EV / Equity Value</t>
  </si>
  <si>
    <t>EV / FCF</t>
  </si>
  <si>
    <t>P/ Sales</t>
  </si>
  <si>
    <t>COS % of Revenue</t>
  </si>
  <si>
    <t>Operating Expenses(SG&amp;A)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</si>
</sst>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₹&quot;* #,##0.00_);_(&quot;₹&quot;* \(#,##0.00\);_(&quot;₹&quot;* &quot;-&quot;??_);_(@_)"/>
    <numFmt numFmtId="164" formatCode="0.0"/>
    <numFmt numFmtId="165" formatCode="0.0%"/>
    <numFmt numFmtId="166" formatCode="#,##0.0"/>
    <numFmt numFmtId="167" formatCode="yyyy\A"/>
    <numFmt numFmtId="168" formatCode="0.0\x"/>
    <numFmt numFmtId="169" formatCode="\₹#,##0;\(#,##0\);\-"/>
  </numFmts>
  <fonts count="29" x14ac:knownFonts="1">
    <font>
      <sz val="12"/>
      <color theme="1"/>
      <name val="Aptos Narrow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2"/>
      <color theme="1"/>
      <name val="Helvetica"/>
      <family val="2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ptos Narrow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2"/>
      <color theme="1"/>
      <name val="Aptos Narrow"/>
      <family val="2"/>
      <scheme val="minor"/>
    </font>
    <font>
      <sz val="11"/>
      <color rgb="FF0000FF"/>
      <name val="Calibri"/>
      <family val="2"/>
    </font>
    <font>
      <b/>
      <sz val="12"/>
      <color theme="1"/>
      <name val="Aptos Narrow"/>
      <scheme val="minor"/>
    </font>
    <font>
      <sz val="12"/>
      <color rgb="FF22222F"/>
      <name val="Arial"/>
      <family val="2"/>
    </font>
    <font>
      <sz val="12"/>
      <color rgb="FF22222F"/>
      <name val="Arial"/>
      <family val="2"/>
    </font>
    <font>
      <sz val="12"/>
      <color rgb="FF22222F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rgb="FF000000"/>
      <name val="Aptos Narrow"/>
      <family val="2"/>
      <scheme val="minor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b/>
      <sz val="13.5"/>
      <color rgb="FF000000"/>
      <name val="Aptos Narrow"/>
      <family val="2"/>
      <scheme val="minor"/>
    </font>
    <font>
      <b/>
      <sz val="14"/>
      <color rgb="FF22222F"/>
      <name val="Arial"/>
      <family val="2"/>
    </font>
    <font>
      <b/>
      <sz val="11"/>
      <color rgb="FFFFFFFF"/>
      <name val="Calibri"/>
      <family val="2"/>
    </font>
    <font>
      <b/>
      <sz val="12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rgb="FFD9E2F3"/>
        <bgColor rgb="FFD9E2F3"/>
      </patternFill>
    </fill>
    <fill>
      <patternFill patternType="solid">
        <fgColor rgb="FFFFFF99"/>
        <bgColor rgb="FFFFFF99"/>
      </patternFill>
    </fill>
    <fill>
      <patternFill patternType="solid">
        <fgColor rgb="FFE7E6E6"/>
        <bgColor rgb="FFE7E6E6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FF"/>
        <bgColor rgb="FFDCE6F1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DCE6F1"/>
      </patternFill>
    </fill>
    <fill>
      <patternFill patternType="solid">
        <fgColor theme="1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125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4" fontId="1" fillId="0" borderId="0" xfId="0" applyNumberFormat="1" applyFont="1"/>
    <xf numFmtId="0" fontId="5" fillId="0" borderId="0" xfId="1"/>
    <xf numFmtId="3" fontId="0" fillId="0" borderId="0" xfId="0" applyNumberFormat="1"/>
    <xf numFmtId="10" fontId="0" fillId="0" borderId="0" xfId="0" applyNumberFormat="1"/>
    <xf numFmtId="0" fontId="4" fillId="0" borderId="0" xfId="0" applyFont="1"/>
    <xf numFmtId="16" fontId="3" fillId="0" borderId="0" xfId="0" applyNumberFormat="1" applyFont="1"/>
    <xf numFmtId="3" fontId="4" fillId="0" borderId="0" xfId="0" applyNumberFormat="1" applyFont="1"/>
    <xf numFmtId="0" fontId="6" fillId="0" borderId="0" xfId="0" applyFont="1"/>
    <xf numFmtId="3" fontId="6" fillId="0" borderId="0" xfId="0" applyNumberFormat="1" applyFont="1"/>
    <xf numFmtId="10" fontId="6" fillId="0" borderId="0" xfId="0" applyNumberFormat="1" applyFont="1"/>
    <xf numFmtId="0" fontId="7" fillId="0" borderId="0" xfId="0" applyFont="1"/>
    <xf numFmtId="0" fontId="8" fillId="2" borderId="0" xfId="0" applyFont="1" applyFill="1"/>
    <xf numFmtId="0" fontId="9" fillId="3" borderId="1" xfId="0" applyFont="1" applyFill="1" applyBorder="1"/>
    <xf numFmtId="1" fontId="9" fillId="3" borderId="1" xfId="0" applyNumberFormat="1" applyFont="1" applyFill="1" applyBorder="1"/>
    <xf numFmtId="0" fontId="9" fillId="0" borderId="0" xfId="0" applyFont="1"/>
    <xf numFmtId="164" fontId="10" fillId="0" borderId="0" xfId="0" applyNumberFormat="1" applyFont="1"/>
    <xf numFmtId="0" fontId="9" fillId="0" borderId="1" xfId="0" applyFont="1" applyBorder="1"/>
    <xf numFmtId="164" fontId="9" fillId="0" borderId="1" xfId="0" applyNumberFormat="1" applyFont="1" applyBorder="1"/>
    <xf numFmtId="0" fontId="11" fillId="0" borderId="0" xfId="0" applyFont="1"/>
    <xf numFmtId="164" fontId="11" fillId="0" borderId="0" xfId="0" applyNumberFormat="1" applyFont="1"/>
    <xf numFmtId="164" fontId="9" fillId="0" borderId="0" xfId="0" applyNumberFormat="1" applyFont="1"/>
    <xf numFmtId="0" fontId="9" fillId="0" borderId="0" xfId="0" applyFont="1" applyAlignment="1">
      <alignment horizontal="left"/>
    </xf>
    <xf numFmtId="0" fontId="11" fillId="4" borderId="2" xfId="0" applyFont="1" applyFill="1" applyBorder="1"/>
    <xf numFmtId="164" fontId="11" fillId="4" borderId="1" xfId="0" applyNumberFormat="1" applyFont="1" applyFill="1" applyBorder="1"/>
    <xf numFmtId="0" fontId="9" fillId="5" borderId="0" xfId="0" applyFont="1" applyFill="1"/>
    <xf numFmtId="10" fontId="10" fillId="0" borderId="0" xfId="0" applyNumberFormat="1" applyFont="1"/>
    <xf numFmtId="165" fontId="9" fillId="5" borderId="0" xfId="0" applyNumberFormat="1" applyFont="1" applyFill="1"/>
    <xf numFmtId="3" fontId="10" fillId="0" borderId="0" xfId="0" applyNumberFormat="1" applyFont="1"/>
    <xf numFmtId="164" fontId="10" fillId="0" borderId="3" xfId="0" applyNumberFormat="1" applyFont="1" applyBorder="1"/>
    <xf numFmtId="164" fontId="9" fillId="0" borderId="3" xfId="0" applyNumberFormat="1" applyFont="1" applyBorder="1"/>
    <xf numFmtId="0" fontId="9" fillId="3" borderId="0" xfId="0" applyFont="1" applyFill="1"/>
    <xf numFmtId="0" fontId="10" fillId="0" borderId="0" xfId="0" applyFont="1"/>
    <xf numFmtId="3" fontId="9" fillId="0" borderId="0" xfId="0" applyNumberFormat="1" applyFont="1"/>
    <xf numFmtId="166" fontId="9" fillId="0" borderId="0" xfId="0" applyNumberFormat="1" applyFont="1"/>
    <xf numFmtId="0" fontId="11" fillId="0" borderId="2" xfId="0" applyFont="1" applyBorder="1"/>
    <xf numFmtId="3" fontId="11" fillId="0" borderId="2" xfId="0" applyNumberFormat="1" applyFont="1" applyBorder="1"/>
    <xf numFmtId="2" fontId="10" fillId="0" borderId="0" xfId="0" applyNumberFormat="1" applyFont="1"/>
    <xf numFmtId="2" fontId="9" fillId="0" borderId="0" xfId="0" applyNumberFormat="1" applyFont="1"/>
    <xf numFmtId="2" fontId="11" fillId="0" borderId="2" xfId="0" applyNumberFormat="1" applyFont="1" applyBorder="1"/>
    <xf numFmtId="3" fontId="9" fillId="5" borderId="0" xfId="0" applyNumberFormat="1" applyFont="1" applyFill="1"/>
    <xf numFmtId="166" fontId="9" fillId="5" borderId="0" xfId="0" applyNumberFormat="1" applyFont="1" applyFill="1"/>
    <xf numFmtId="164" fontId="9" fillId="5" borderId="0" xfId="0" applyNumberFormat="1" applyFont="1" applyFill="1"/>
    <xf numFmtId="10" fontId="9" fillId="5" borderId="0" xfId="0" applyNumberFormat="1" applyFont="1" applyFill="1"/>
    <xf numFmtId="10" fontId="9" fillId="0" borderId="0" xfId="0" applyNumberFormat="1" applyFont="1"/>
    <xf numFmtId="166" fontId="13" fillId="0" borderId="0" xfId="0" applyNumberFormat="1" applyFont="1"/>
    <xf numFmtId="165" fontId="13" fillId="0" borderId="0" xfId="0" applyNumberFormat="1" applyFont="1"/>
    <xf numFmtId="165" fontId="9" fillId="0" borderId="0" xfId="0" applyNumberFormat="1" applyFont="1"/>
    <xf numFmtId="165" fontId="11" fillId="0" borderId="2" xfId="0" applyNumberFormat="1" applyFont="1" applyBorder="1"/>
    <xf numFmtId="165" fontId="11" fillId="0" borderId="0" xfId="0" applyNumberFormat="1" applyFont="1"/>
    <xf numFmtId="10" fontId="13" fillId="0" borderId="0" xfId="0" applyNumberFormat="1" applyFont="1"/>
    <xf numFmtId="2" fontId="13" fillId="0" borderId="0" xfId="0" applyNumberFormat="1" applyFont="1"/>
    <xf numFmtId="165" fontId="11" fillId="4" borderId="2" xfId="0" applyNumberFormat="1" applyFont="1" applyFill="1" applyBorder="1"/>
    <xf numFmtId="167" fontId="9" fillId="3" borderId="1" xfId="0" applyNumberFormat="1" applyFont="1" applyFill="1" applyBorder="1"/>
    <xf numFmtId="4" fontId="9" fillId="0" borderId="0" xfId="0" applyNumberFormat="1" applyFont="1"/>
    <xf numFmtId="10" fontId="9" fillId="3" borderId="0" xfId="0" applyNumberFormat="1" applyFont="1" applyFill="1"/>
    <xf numFmtId="4" fontId="9" fillId="3" borderId="0" xfId="0" applyNumberFormat="1" applyFont="1" applyFill="1"/>
    <xf numFmtId="4" fontId="8" fillId="2" borderId="0" xfId="0" applyNumberFormat="1" applyFont="1" applyFill="1"/>
    <xf numFmtId="0" fontId="9" fillId="0" borderId="2" xfId="0" applyFont="1" applyBorder="1"/>
    <xf numFmtId="3" fontId="9" fillId="0" borderId="2" xfId="0" applyNumberFormat="1" applyFont="1" applyBorder="1"/>
    <xf numFmtId="1" fontId="10" fillId="0" borderId="0" xfId="0" applyNumberFormat="1" applyFont="1"/>
    <xf numFmtId="4" fontId="11" fillId="4" borderId="2" xfId="0" applyNumberFormat="1" applyFont="1" applyFill="1" applyBorder="1"/>
    <xf numFmtId="0" fontId="14" fillId="0" borderId="0" xfId="0" applyFont="1"/>
    <xf numFmtId="0" fontId="15" fillId="0" borderId="0" xfId="0" applyFont="1"/>
    <xf numFmtId="3" fontId="15" fillId="0" borderId="0" xfId="0" applyNumberFormat="1" applyFont="1"/>
    <xf numFmtId="0" fontId="16" fillId="0" borderId="0" xfId="0" applyFont="1"/>
    <xf numFmtId="3" fontId="16" fillId="0" borderId="0" xfId="0" applyNumberFormat="1" applyFont="1"/>
    <xf numFmtId="9" fontId="16" fillId="0" borderId="0" xfId="0" applyNumberFormat="1" applyFont="1"/>
    <xf numFmtId="10" fontId="16" fillId="0" borderId="0" xfId="0" applyNumberFormat="1" applyFont="1"/>
    <xf numFmtId="17" fontId="17" fillId="0" borderId="0" xfId="0" applyNumberFormat="1" applyFont="1"/>
    <xf numFmtId="0" fontId="17" fillId="0" borderId="0" xfId="0" applyFont="1"/>
    <xf numFmtId="9" fontId="9" fillId="5" borderId="0" xfId="2" applyFont="1" applyFill="1"/>
    <xf numFmtId="0" fontId="9" fillId="6" borderId="0" xfId="0" applyFont="1" applyFill="1"/>
    <xf numFmtId="0" fontId="10" fillId="6" borderId="0" xfId="0" applyFont="1" applyFill="1"/>
    <xf numFmtId="0" fontId="9" fillId="0" borderId="3" xfId="0" applyFont="1" applyBorder="1"/>
    <xf numFmtId="164" fontId="19" fillId="0" borderId="0" xfId="0" applyNumberFormat="1" applyFont="1"/>
    <xf numFmtId="164" fontId="20" fillId="0" borderId="0" xfId="0" applyNumberFormat="1" applyFont="1"/>
    <xf numFmtId="10" fontId="9" fillId="0" borderId="0" xfId="2" applyNumberFormat="1" applyFont="1"/>
    <xf numFmtId="0" fontId="9" fillId="3" borderId="3" xfId="0" applyFont="1" applyFill="1" applyBorder="1"/>
    <xf numFmtId="2" fontId="0" fillId="0" borderId="0" xfId="0" applyNumberFormat="1"/>
    <xf numFmtId="44" fontId="0" fillId="0" borderId="0" xfId="0" applyNumberForma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4" fontId="24" fillId="0" borderId="0" xfId="0" applyNumberFormat="1" applyFont="1"/>
    <xf numFmtId="17" fontId="21" fillId="0" borderId="0" xfId="0" applyNumberFormat="1" applyFont="1"/>
    <xf numFmtId="17" fontId="23" fillId="0" borderId="0" xfId="0" applyNumberFormat="1" applyFont="1"/>
    <xf numFmtId="0" fontId="18" fillId="0" borderId="0" xfId="0" applyFont="1"/>
    <xf numFmtId="0" fontId="20" fillId="7" borderId="0" xfId="0" applyFont="1" applyFill="1"/>
    <xf numFmtId="17" fontId="26" fillId="0" borderId="0" xfId="0" applyNumberFormat="1" applyFont="1"/>
    <xf numFmtId="166" fontId="0" fillId="0" borderId="0" xfId="0" applyNumberFormat="1"/>
    <xf numFmtId="164" fontId="0" fillId="0" borderId="0" xfId="0" applyNumberFormat="1"/>
    <xf numFmtId="0" fontId="18" fillId="0" borderId="4" xfId="0" applyFont="1" applyBorder="1"/>
    <xf numFmtId="10" fontId="9" fillId="5" borderId="0" xfId="2" applyNumberFormat="1" applyFont="1" applyFill="1"/>
    <xf numFmtId="10" fontId="0" fillId="0" borderId="0" xfId="2" applyNumberFormat="1" applyFont="1"/>
    <xf numFmtId="0" fontId="20" fillId="0" borderId="0" xfId="0" applyFont="1"/>
    <xf numFmtId="3" fontId="28" fillId="0" borderId="0" xfId="0" applyNumberFormat="1" applyFont="1"/>
    <xf numFmtId="3" fontId="23" fillId="0" borderId="0" xfId="0" applyNumberFormat="1" applyFont="1"/>
    <xf numFmtId="3" fontId="24" fillId="0" borderId="0" xfId="0" applyNumberFormat="1" applyFont="1"/>
    <xf numFmtId="168" fontId="9" fillId="0" borderId="6" xfId="0" applyNumberFormat="1" applyFont="1" applyBorder="1" applyAlignment="1">
      <alignment horizontal="right" vertical="center"/>
    </xf>
    <xf numFmtId="169" fontId="9" fillId="0" borderId="6" xfId="0" applyNumberFormat="1" applyFont="1" applyBorder="1" applyAlignment="1">
      <alignment horizontal="right" vertical="center"/>
    </xf>
    <xf numFmtId="2" fontId="0" fillId="11" borderId="0" xfId="0" applyNumberFormat="1" applyFill="1"/>
    <xf numFmtId="0" fontId="9" fillId="12" borderId="7" xfId="0" applyFont="1" applyFill="1" applyBorder="1" applyAlignment="1">
      <alignment horizontal="left" vertical="center" wrapText="1"/>
    </xf>
    <xf numFmtId="0" fontId="9" fillId="9" borderId="8" xfId="0" applyFont="1" applyFill="1" applyBorder="1" applyAlignment="1">
      <alignment horizontal="left" vertical="center" wrapText="1"/>
    </xf>
    <xf numFmtId="0" fontId="9" fillId="12" borderId="8" xfId="0" applyFont="1" applyFill="1" applyBorder="1" applyAlignment="1">
      <alignment horizontal="left" vertical="center" wrapText="1"/>
    </xf>
    <xf numFmtId="0" fontId="9" fillId="8" borderId="8" xfId="0" applyFont="1" applyFill="1" applyBorder="1" applyAlignment="1">
      <alignment horizontal="left" vertical="center" wrapText="1"/>
    </xf>
    <xf numFmtId="0" fontId="9" fillId="10" borderId="8" xfId="0" applyFont="1" applyFill="1" applyBorder="1" applyAlignment="1">
      <alignment horizontal="left" vertical="center" wrapText="1"/>
    </xf>
    <xf numFmtId="2" fontId="9" fillId="0" borderId="6" xfId="0" applyNumberFormat="1" applyFont="1" applyBorder="1" applyAlignment="1">
      <alignment horizontal="right" vertical="center"/>
    </xf>
    <xf numFmtId="1" fontId="9" fillId="3" borderId="3" xfId="0" applyNumberFormat="1" applyFont="1" applyFill="1" applyBorder="1"/>
    <xf numFmtId="0" fontId="0" fillId="7" borderId="0" xfId="0" applyFill="1"/>
    <xf numFmtId="0" fontId="9" fillId="0" borderId="6" xfId="0" applyFont="1" applyBorder="1" applyAlignment="1">
      <alignment horizontal="left" vertical="center"/>
    </xf>
    <xf numFmtId="0" fontId="27" fillId="13" borderId="5" xfId="0" applyFont="1" applyFill="1" applyBorder="1" applyAlignment="1">
      <alignment horizontal="center" vertical="center"/>
    </xf>
    <xf numFmtId="0" fontId="27" fillId="13" borderId="9" xfId="0" applyFont="1" applyFill="1" applyBorder="1" applyAlignment="1">
      <alignment horizontal="center" vertical="center"/>
    </xf>
    <xf numFmtId="16" fontId="3" fillId="0" borderId="0" xfId="0" applyNumberFormat="1" applyFont="1"/>
    <xf numFmtId="0" fontId="7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textRotation="90"/>
    </xf>
  </cellXfs>
  <cellStyles count="3">
    <cellStyle name="Hyperlink" xfId="1" builtinId="8"/>
    <cellStyle name="Normal" xfId="0" builtinId="0"/>
    <cellStyle name="Per cent" xfId="2" builtinId="5"/>
  </cellStyles>
  <dxfs count="48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9" formatCode="\₹#,##0;\(#,##0\);\-"/>
      <alignment horizontal="right" vertical="center" textRotation="0" wrapText="0" indent="0" justifyLastLine="0" shrinkToFit="0" readingOrder="0"/>
      <border diagonalUp="0" diagonalDown="0">
        <left/>
        <right style="thin">
          <color rgb="FFBFBFBF"/>
        </right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/>
        <right style="thin">
          <color rgb="FFBFBFBF"/>
        </right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8" formatCode="0.0\x"/>
      <alignment horizontal="right" vertical="center" textRotation="0" wrapText="0" indent="0" justifyLastLine="0" shrinkToFit="0" readingOrder="0"/>
      <border diagonalUp="0" diagonalDown="0">
        <left/>
        <right style="thin">
          <color rgb="FFBFBFBF"/>
        </right>
        <top/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/>
        <bottom style="thin">
          <color rgb="FFBFBFBF"/>
        </bottom>
        <vertical/>
        <horizontal/>
      </border>
    </dxf>
    <dxf>
      <border outline="0">
        <left style="thin">
          <color rgb="FFBFBFBF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outline="0">
        <left style="thin">
          <color rgb="FFD9D9D9"/>
        </left>
      </border>
    </dxf>
    <dxf>
      <border diagonalUp="0" diagonalDown="0">
        <left style="thin">
          <color rgb="FFD9D9D9"/>
        </left>
        <right style="thin">
          <color rgb="FFD9D9D9"/>
        </right>
        <vertical/>
      </border>
    </dxf>
    <dxf>
      <border outline="0">
        <left style="thin">
          <color rgb="FFD9D9D9"/>
        </left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0" formatCode="General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33333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103</xdr:row>
      <xdr:rowOff>0</xdr:rowOff>
    </xdr:from>
    <xdr:to>
      <xdr:col>15</xdr:col>
      <xdr:colOff>228600</xdr:colOff>
      <xdr:row>104</xdr:row>
      <xdr:rowOff>25400</xdr:rowOff>
    </xdr:to>
    <xdr:sp macro="" textlink="">
      <xdr:nvSpPr>
        <xdr:cNvPr id="1025" name="AutoShape 1" descr="lock">
          <a:extLst>
            <a:ext uri="{FF2B5EF4-FFF2-40B4-BE49-F238E27FC236}">
              <a16:creationId xmlns:a16="http://schemas.microsoft.com/office/drawing/2014/main" id="{30A0A857-E861-3F51-7EB0-BC536D6B6E47}"/>
            </a:ext>
          </a:extLst>
        </xdr:cNvPr>
        <xdr:cNvSpPr>
          <a:spLocks noChangeAspect="1" noChangeArrowheads="1"/>
        </xdr:cNvSpPr>
      </xdr:nvSpPr>
      <xdr:spPr bwMode="auto">
        <a:xfrm>
          <a:off x="21615400" y="21005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103</xdr:row>
      <xdr:rowOff>0</xdr:rowOff>
    </xdr:from>
    <xdr:to>
      <xdr:col>16</xdr:col>
      <xdr:colOff>228600</xdr:colOff>
      <xdr:row>104</xdr:row>
      <xdr:rowOff>25400</xdr:rowOff>
    </xdr:to>
    <xdr:sp macro="" textlink="">
      <xdr:nvSpPr>
        <xdr:cNvPr id="1026" name="AutoShape 2" descr="lock">
          <a:extLst>
            <a:ext uri="{FF2B5EF4-FFF2-40B4-BE49-F238E27FC236}">
              <a16:creationId xmlns:a16="http://schemas.microsoft.com/office/drawing/2014/main" id="{B403E81A-5E70-1520-FF57-3A9451E0257B}"/>
            </a:ext>
          </a:extLst>
        </xdr:cNvPr>
        <xdr:cNvSpPr>
          <a:spLocks noChangeAspect="1" noChangeArrowheads="1"/>
        </xdr:cNvSpPr>
      </xdr:nvSpPr>
      <xdr:spPr bwMode="auto">
        <a:xfrm>
          <a:off x="22440900" y="21005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104</xdr:row>
      <xdr:rowOff>0</xdr:rowOff>
    </xdr:from>
    <xdr:to>
      <xdr:col>15</xdr:col>
      <xdr:colOff>228600</xdr:colOff>
      <xdr:row>105</xdr:row>
      <xdr:rowOff>25400</xdr:rowOff>
    </xdr:to>
    <xdr:sp macro="" textlink="">
      <xdr:nvSpPr>
        <xdr:cNvPr id="1027" name="AutoShape 3" descr="lock">
          <a:extLst>
            <a:ext uri="{FF2B5EF4-FFF2-40B4-BE49-F238E27FC236}">
              <a16:creationId xmlns:a16="http://schemas.microsoft.com/office/drawing/2014/main" id="{81D4DC98-73C1-1670-6BC4-B677D11164DF}"/>
            </a:ext>
          </a:extLst>
        </xdr:cNvPr>
        <xdr:cNvSpPr>
          <a:spLocks noChangeAspect="1" noChangeArrowheads="1"/>
        </xdr:cNvSpPr>
      </xdr:nvSpPr>
      <xdr:spPr bwMode="auto">
        <a:xfrm>
          <a:off x="21615400" y="2120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104</xdr:row>
      <xdr:rowOff>0</xdr:rowOff>
    </xdr:from>
    <xdr:to>
      <xdr:col>16</xdr:col>
      <xdr:colOff>228600</xdr:colOff>
      <xdr:row>105</xdr:row>
      <xdr:rowOff>25400</xdr:rowOff>
    </xdr:to>
    <xdr:sp macro="" textlink="">
      <xdr:nvSpPr>
        <xdr:cNvPr id="1028" name="AutoShape 4" descr="lock">
          <a:extLst>
            <a:ext uri="{FF2B5EF4-FFF2-40B4-BE49-F238E27FC236}">
              <a16:creationId xmlns:a16="http://schemas.microsoft.com/office/drawing/2014/main" id="{FECDF41E-E9A9-F289-1846-04A800134C05}"/>
            </a:ext>
          </a:extLst>
        </xdr:cNvPr>
        <xdr:cNvSpPr>
          <a:spLocks noChangeAspect="1" noChangeArrowheads="1"/>
        </xdr:cNvSpPr>
      </xdr:nvSpPr>
      <xdr:spPr bwMode="auto">
        <a:xfrm>
          <a:off x="22440900" y="2120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105</xdr:row>
      <xdr:rowOff>0</xdr:rowOff>
    </xdr:from>
    <xdr:to>
      <xdr:col>15</xdr:col>
      <xdr:colOff>228600</xdr:colOff>
      <xdr:row>106</xdr:row>
      <xdr:rowOff>25400</xdr:rowOff>
    </xdr:to>
    <xdr:sp macro="" textlink="">
      <xdr:nvSpPr>
        <xdr:cNvPr id="1029" name="AutoShape 5" descr="lock">
          <a:extLst>
            <a:ext uri="{FF2B5EF4-FFF2-40B4-BE49-F238E27FC236}">
              <a16:creationId xmlns:a16="http://schemas.microsoft.com/office/drawing/2014/main" id="{7C029EDB-6F7A-405D-CEC3-0543659F117D}"/>
            </a:ext>
          </a:extLst>
        </xdr:cNvPr>
        <xdr:cNvSpPr>
          <a:spLocks noChangeAspect="1" noChangeArrowheads="1"/>
        </xdr:cNvSpPr>
      </xdr:nvSpPr>
      <xdr:spPr bwMode="auto">
        <a:xfrm>
          <a:off x="21615400" y="21412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105</xdr:row>
      <xdr:rowOff>0</xdr:rowOff>
    </xdr:from>
    <xdr:to>
      <xdr:col>16</xdr:col>
      <xdr:colOff>228600</xdr:colOff>
      <xdr:row>106</xdr:row>
      <xdr:rowOff>25400</xdr:rowOff>
    </xdr:to>
    <xdr:sp macro="" textlink="">
      <xdr:nvSpPr>
        <xdr:cNvPr id="1030" name="AutoShape 6" descr="lock">
          <a:extLst>
            <a:ext uri="{FF2B5EF4-FFF2-40B4-BE49-F238E27FC236}">
              <a16:creationId xmlns:a16="http://schemas.microsoft.com/office/drawing/2014/main" id="{95B597F7-5FB3-C853-3939-2A845B6A37AF}"/>
            </a:ext>
          </a:extLst>
        </xdr:cNvPr>
        <xdr:cNvSpPr>
          <a:spLocks noChangeAspect="1" noChangeArrowheads="1"/>
        </xdr:cNvSpPr>
      </xdr:nvSpPr>
      <xdr:spPr bwMode="auto">
        <a:xfrm>
          <a:off x="22440900" y="21412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106</xdr:row>
      <xdr:rowOff>0</xdr:rowOff>
    </xdr:from>
    <xdr:to>
      <xdr:col>15</xdr:col>
      <xdr:colOff>228600</xdr:colOff>
      <xdr:row>107</xdr:row>
      <xdr:rowOff>25400</xdr:rowOff>
    </xdr:to>
    <xdr:sp macro="" textlink="">
      <xdr:nvSpPr>
        <xdr:cNvPr id="1031" name="AutoShape 7" descr="lock">
          <a:extLst>
            <a:ext uri="{FF2B5EF4-FFF2-40B4-BE49-F238E27FC236}">
              <a16:creationId xmlns:a16="http://schemas.microsoft.com/office/drawing/2014/main" id="{D3569B43-A8DC-9A15-B957-6CB12177C359}"/>
            </a:ext>
          </a:extLst>
        </xdr:cNvPr>
        <xdr:cNvSpPr>
          <a:spLocks noChangeAspect="1" noChangeArrowheads="1"/>
        </xdr:cNvSpPr>
      </xdr:nvSpPr>
      <xdr:spPr bwMode="auto">
        <a:xfrm>
          <a:off x="21615400" y="2161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106</xdr:row>
      <xdr:rowOff>0</xdr:rowOff>
    </xdr:from>
    <xdr:to>
      <xdr:col>16</xdr:col>
      <xdr:colOff>228600</xdr:colOff>
      <xdr:row>107</xdr:row>
      <xdr:rowOff>25400</xdr:rowOff>
    </xdr:to>
    <xdr:sp macro="" textlink="">
      <xdr:nvSpPr>
        <xdr:cNvPr id="1032" name="AutoShape 8" descr="lock">
          <a:extLst>
            <a:ext uri="{FF2B5EF4-FFF2-40B4-BE49-F238E27FC236}">
              <a16:creationId xmlns:a16="http://schemas.microsoft.com/office/drawing/2014/main" id="{AD76B294-D6A3-FB37-4519-819BBD8C8E85}"/>
            </a:ext>
          </a:extLst>
        </xdr:cNvPr>
        <xdr:cNvSpPr>
          <a:spLocks noChangeAspect="1" noChangeArrowheads="1"/>
        </xdr:cNvSpPr>
      </xdr:nvSpPr>
      <xdr:spPr bwMode="auto">
        <a:xfrm>
          <a:off x="22440900" y="21615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107</xdr:row>
      <xdr:rowOff>0</xdr:rowOff>
    </xdr:from>
    <xdr:to>
      <xdr:col>15</xdr:col>
      <xdr:colOff>228600</xdr:colOff>
      <xdr:row>108</xdr:row>
      <xdr:rowOff>25400</xdr:rowOff>
    </xdr:to>
    <xdr:sp macro="" textlink="">
      <xdr:nvSpPr>
        <xdr:cNvPr id="1033" name="AutoShape 9" descr="lock">
          <a:extLst>
            <a:ext uri="{FF2B5EF4-FFF2-40B4-BE49-F238E27FC236}">
              <a16:creationId xmlns:a16="http://schemas.microsoft.com/office/drawing/2014/main" id="{44E124CE-FE1A-2D9D-C383-D49DCEC15CE6}"/>
            </a:ext>
          </a:extLst>
        </xdr:cNvPr>
        <xdr:cNvSpPr>
          <a:spLocks noChangeAspect="1" noChangeArrowheads="1"/>
        </xdr:cNvSpPr>
      </xdr:nvSpPr>
      <xdr:spPr bwMode="auto">
        <a:xfrm>
          <a:off x="21615400" y="21818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107</xdr:row>
      <xdr:rowOff>0</xdr:rowOff>
    </xdr:from>
    <xdr:to>
      <xdr:col>16</xdr:col>
      <xdr:colOff>228600</xdr:colOff>
      <xdr:row>108</xdr:row>
      <xdr:rowOff>25400</xdr:rowOff>
    </xdr:to>
    <xdr:sp macro="" textlink="">
      <xdr:nvSpPr>
        <xdr:cNvPr id="1034" name="AutoShape 10" descr="lock">
          <a:extLst>
            <a:ext uri="{FF2B5EF4-FFF2-40B4-BE49-F238E27FC236}">
              <a16:creationId xmlns:a16="http://schemas.microsoft.com/office/drawing/2014/main" id="{B1E6D8C8-8187-BB30-52C1-8BF2C22F928D}"/>
            </a:ext>
          </a:extLst>
        </xdr:cNvPr>
        <xdr:cNvSpPr>
          <a:spLocks noChangeAspect="1" noChangeArrowheads="1"/>
        </xdr:cNvSpPr>
      </xdr:nvSpPr>
      <xdr:spPr bwMode="auto">
        <a:xfrm>
          <a:off x="22440900" y="21818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108</xdr:row>
      <xdr:rowOff>0</xdr:rowOff>
    </xdr:from>
    <xdr:to>
      <xdr:col>15</xdr:col>
      <xdr:colOff>228600</xdr:colOff>
      <xdr:row>109</xdr:row>
      <xdr:rowOff>25400</xdr:rowOff>
    </xdr:to>
    <xdr:sp macro="" textlink="">
      <xdr:nvSpPr>
        <xdr:cNvPr id="1035" name="AutoShape 11" descr="lock">
          <a:extLst>
            <a:ext uri="{FF2B5EF4-FFF2-40B4-BE49-F238E27FC236}">
              <a16:creationId xmlns:a16="http://schemas.microsoft.com/office/drawing/2014/main" id="{712A706A-CD66-AA76-CFB3-AFFC35EDFBB4}"/>
            </a:ext>
          </a:extLst>
        </xdr:cNvPr>
        <xdr:cNvSpPr>
          <a:spLocks noChangeAspect="1" noChangeArrowheads="1"/>
        </xdr:cNvSpPr>
      </xdr:nvSpPr>
      <xdr:spPr bwMode="auto">
        <a:xfrm>
          <a:off x="21615400" y="22021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108</xdr:row>
      <xdr:rowOff>0</xdr:rowOff>
    </xdr:from>
    <xdr:to>
      <xdr:col>16</xdr:col>
      <xdr:colOff>228600</xdr:colOff>
      <xdr:row>109</xdr:row>
      <xdr:rowOff>25400</xdr:rowOff>
    </xdr:to>
    <xdr:sp macro="" textlink="">
      <xdr:nvSpPr>
        <xdr:cNvPr id="1036" name="AutoShape 12" descr="lock">
          <a:extLst>
            <a:ext uri="{FF2B5EF4-FFF2-40B4-BE49-F238E27FC236}">
              <a16:creationId xmlns:a16="http://schemas.microsoft.com/office/drawing/2014/main" id="{FED270A1-4F27-F0BF-03F5-D569B799C4AF}"/>
            </a:ext>
          </a:extLst>
        </xdr:cNvPr>
        <xdr:cNvSpPr>
          <a:spLocks noChangeAspect="1" noChangeArrowheads="1"/>
        </xdr:cNvSpPr>
      </xdr:nvSpPr>
      <xdr:spPr bwMode="auto">
        <a:xfrm>
          <a:off x="22440900" y="22021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109</xdr:row>
      <xdr:rowOff>0</xdr:rowOff>
    </xdr:from>
    <xdr:to>
      <xdr:col>15</xdr:col>
      <xdr:colOff>228600</xdr:colOff>
      <xdr:row>110</xdr:row>
      <xdr:rowOff>25400</xdr:rowOff>
    </xdr:to>
    <xdr:sp macro="" textlink="">
      <xdr:nvSpPr>
        <xdr:cNvPr id="1037" name="AutoShape 13" descr="lock">
          <a:extLst>
            <a:ext uri="{FF2B5EF4-FFF2-40B4-BE49-F238E27FC236}">
              <a16:creationId xmlns:a16="http://schemas.microsoft.com/office/drawing/2014/main" id="{1C53FADC-3FD4-376C-C58D-785EEBF46C40}"/>
            </a:ext>
          </a:extLst>
        </xdr:cNvPr>
        <xdr:cNvSpPr>
          <a:spLocks noChangeAspect="1" noChangeArrowheads="1"/>
        </xdr:cNvSpPr>
      </xdr:nvSpPr>
      <xdr:spPr bwMode="auto">
        <a:xfrm>
          <a:off x="21615400" y="2222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109</xdr:row>
      <xdr:rowOff>0</xdr:rowOff>
    </xdr:from>
    <xdr:to>
      <xdr:col>16</xdr:col>
      <xdr:colOff>228600</xdr:colOff>
      <xdr:row>110</xdr:row>
      <xdr:rowOff>25400</xdr:rowOff>
    </xdr:to>
    <xdr:sp macro="" textlink="">
      <xdr:nvSpPr>
        <xdr:cNvPr id="1038" name="AutoShape 14" descr="lock">
          <a:extLst>
            <a:ext uri="{FF2B5EF4-FFF2-40B4-BE49-F238E27FC236}">
              <a16:creationId xmlns:a16="http://schemas.microsoft.com/office/drawing/2014/main" id="{6B0FBAC1-1614-BAC5-5F88-E7D39C2401CD}"/>
            </a:ext>
          </a:extLst>
        </xdr:cNvPr>
        <xdr:cNvSpPr>
          <a:spLocks noChangeAspect="1" noChangeArrowheads="1"/>
        </xdr:cNvSpPr>
      </xdr:nvSpPr>
      <xdr:spPr bwMode="auto">
        <a:xfrm>
          <a:off x="22440900" y="2222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110</xdr:row>
      <xdr:rowOff>0</xdr:rowOff>
    </xdr:from>
    <xdr:to>
      <xdr:col>15</xdr:col>
      <xdr:colOff>228600</xdr:colOff>
      <xdr:row>111</xdr:row>
      <xdr:rowOff>25400</xdr:rowOff>
    </xdr:to>
    <xdr:sp macro="" textlink="">
      <xdr:nvSpPr>
        <xdr:cNvPr id="1039" name="AutoShape 15" descr="lock">
          <a:extLst>
            <a:ext uri="{FF2B5EF4-FFF2-40B4-BE49-F238E27FC236}">
              <a16:creationId xmlns:a16="http://schemas.microsoft.com/office/drawing/2014/main" id="{88F114DB-2499-98D1-5AC8-A2C8F871CA91}"/>
            </a:ext>
          </a:extLst>
        </xdr:cNvPr>
        <xdr:cNvSpPr>
          <a:spLocks noChangeAspect="1" noChangeArrowheads="1"/>
        </xdr:cNvSpPr>
      </xdr:nvSpPr>
      <xdr:spPr bwMode="auto">
        <a:xfrm>
          <a:off x="21615400" y="22428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110</xdr:row>
      <xdr:rowOff>0</xdr:rowOff>
    </xdr:from>
    <xdr:to>
      <xdr:col>16</xdr:col>
      <xdr:colOff>228600</xdr:colOff>
      <xdr:row>111</xdr:row>
      <xdr:rowOff>25400</xdr:rowOff>
    </xdr:to>
    <xdr:sp macro="" textlink="">
      <xdr:nvSpPr>
        <xdr:cNvPr id="1040" name="AutoShape 16" descr="lock">
          <a:extLst>
            <a:ext uri="{FF2B5EF4-FFF2-40B4-BE49-F238E27FC236}">
              <a16:creationId xmlns:a16="http://schemas.microsoft.com/office/drawing/2014/main" id="{37E444C3-D3D7-7937-BFAB-7D47F7426299}"/>
            </a:ext>
          </a:extLst>
        </xdr:cNvPr>
        <xdr:cNvSpPr>
          <a:spLocks noChangeAspect="1" noChangeArrowheads="1"/>
        </xdr:cNvSpPr>
      </xdr:nvSpPr>
      <xdr:spPr bwMode="auto">
        <a:xfrm>
          <a:off x="22440900" y="22428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111</xdr:row>
      <xdr:rowOff>0</xdr:rowOff>
    </xdr:from>
    <xdr:to>
      <xdr:col>15</xdr:col>
      <xdr:colOff>228600</xdr:colOff>
      <xdr:row>112</xdr:row>
      <xdr:rowOff>25400</xdr:rowOff>
    </xdr:to>
    <xdr:sp macro="" textlink="">
      <xdr:nvSpPr>
        <xdr:cNvPr id="1041" name="AutoShape 17" descr="lock">
          <a:extLst>
            <a:ext uri="{FF2B5EF4-FFF2-40B4-BE49-F238E27FC236}">
              <a16:creationId xmlns:a16="http://schemas.microsoft.com/office/drawing/2014/main" id="{35D46D7C-678F-8AA7-84A6-F20A2B788B54}"/>
            </a:ext>
          </a:extLst>
        </xdr:cNvPr>
        <xdr:cNvSpPr>
          <a:spLocks noChangeAspect="1" noChangeArrowheads="1"/>
        </xdr:cNvSpPr>
      </xdr:nvSpPr>
      <xdr:spPr bwMode="auto">
        <a:xfrm>
          <a:off x="21615400" y="22631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111</xdr:row>
      <xdr:rowOff>0</xdr:rowOff>
    </xdr:from>
    <xdr:to>
      <xdr:col>16</xdr:col>
      <xdr:colOff>228600</xdr:colOff>
      <xdr:row>112</xdr:row>
      <xdr:rowOff>25400</xdr:rowOff>
    </xdr:to>
    <xdr:sp macro="" textlink="">
      <xdr:nvSpPr>
        <xdr:cNvPr id="1042" name="AutoShape 18" descr="lock">
          <a:extLst>
            <a:ext uri="{FF2B5EF4-FFF2-40B4-BE49-F238E27FC236}">
              <a16:creationId xmlns:a16="http://schemas.microsoft.com/office/drawing/2014/main" id="{540034FD-3AD4-EB4A-80DC-7BFDF76F6F39}"/>
            </a:ext>
          </a:extLst>
        </xdr:cNvPr>
        <xdr:cNvSpPr>
          <a:spLocks noChangeAspect="1" noChangeArrowheads="1"/>
        </xdr:cNvSpPr>
      </xdr:nvSpPr>
      <xdr:spPr bwMode="auto">
        <a:xfrm>
          <a:off x="22440900" y="22631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112</xdr:row>
      <xdr:rowOff>0</xdr:rowOff>
    </xdr:from>
    <xdr:to>
      <xdr:col>15</xdr:col>
      <xdr:colOff>228600</xdr:colOff>
      <xdr:row>113</xdr:row>
      <xdr:rowOff>25400</xdr:rowOff>
    </xdr:to>
    <xdr:sp macro="" textlink="">
      <xdr:nvSpPr>
        <xdr:cNvPr id="1043" name="AutoShape 19" descr="lock">
          <a:extLst>
            <a:ext uri="{FF2B5EF4-FFF2-40B4-BE49-F238E27FC236}">
              <a16:creationId xmlns:a16="http://schemas.microsoft.com/office/drawing/2014/main" id="{FF283E21-74E7-1FD4-6968-462737ADDA5C}"/>
            </a:ext>
          </a:extLst>
        </xdr:cNvPr>
        <xdr:cNvSpPr>
          <a:spLocks noChangeAspect="1" noChangeArrowheads="1"/>
        </xdr:cNvSpPr>
      </xdr:nvSpPr>
      <xdr:spPr bwMode="auto">
        <a:xfrm>
          <a:off x="21615400" y="22834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112</xdr:row>
      <xdr:rowOff>0</xdr:rowOff>
    </xdr:from>
    <xdr:to>
      <xdr:col>16</xdr:col>
      <xdr:colOff>228600</xdr:colOff>
      <xdr:row>113</xdr:row>
      <xdr:rowOff>25400</xdr:rowOff>
    </xdr:to>
    <xdr:sp macro="" textlink="">
      <xdr:nvSpPr>
        <xdr:cNvPr id="1044" name="AutoShape 20" descr="lock">
          <a:extLst>
            <a:ext uri="{FF2B5EF4-FFF2-40B4-BE49-F238E27FC236}">
              <a16:creationId xmlns:a16="http://schemas.microsoft.com/office/drawing/2014/main" id="{FCAFE46C-1DD0-2497-7120-F15D62800A7A}"/>
            </a:ext>
          </a:extLst>
        </xdr:cNvPr>
        <xdr:cNvSpPr>
          <a:spLocks noChangeAspect="1" noChangeArrowheads="1"/>
        </xdr:cNvSpPr>
      </xdr:nvSpPr>
      <xdr:spPr bwMode="auto">
        <a:xfrm>
          <a:off x="22440900" y="22834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113</xdr:row>
      <xdr:rowOff>0</xdr:rowOff>
    </xdr:from>
    <xdr:to>
      <xdr:col>15</xdr:col>
      <xdr:colOff>228600</xdr:colOff>
      <xdr:row>114</xdr:row>
      <xdr:rowOff>25400</xdr:rowOff>
    </xdr:to>
    <xdr:sp macro="" textlink="">
      <xdr:nvSpPr>
        <xdr:cNvPr id="1045" name="AutoShape 21" descr="lock">
          <a:extLst>
            <a:ext uri="{FF2B5EF4-FFF2-40B4-BE49-F238E27FC236}">
              <a16:creationId xmlns:a16="http://schemas.microsoft.com/office/drawing/2014/main" id="{0FB2A7FB-1742-F5C6-91F5-3F27D786785E}"/>
            </a:ext>
          </a:extLst>
        </xdr:cNvPr>
        <xdr:cNvSpPr>
          <a:spLocks noChangeAspect="1" noChangeArrowheads="1"/>
        </xdr:cNvSpPr>
      </xdr:nvSpPr>
      <xdr:spPr bwMode="auto">
        <a:xfrm>
          <a:off x="21615400" y="23037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113</xdr:row>
      <xdr:rowOff>0</xdr:rowOff>
    </xdr:from>
    <xdr:to>
      <xdr:col>16</xdr:col>
      <xdr:colOff>228600</xdr:colOff>
      <xdr:row>114</xdr:row>
      <xdr:rowOff>25400</xdr:rowOff>
    </xdr:to>
    <xdr:sp macro="" textlink="">
      <xdr:nvSpPr>
        <xdr:cNvPr id="1046" name="AutoShape 22" descr="lock">
          <a:extLst>
            <a:ext uri="{FF2B5EF4-FFF2-40B4-BE49-F238E27FC236}">
              <a16:creationId xmlns:a16="http://schemas.microsoft.com/office/drawing/2014/main" id="{BE0FFF34-0ECC-DC71-2843-567067DDA1AB}"/>
            </a:ext>
          </a:extLst>
        </xdr:cNvPr>
        <xdr:cNvSpPr>
          <a:spLocks noChangeAspect="1" noChangeArrowheads="1"/>
        </xdr:cNvSpPr>
      </xdr:nvSpPr>
      <xdr:spPr bwMode="auto">
        <a:xfrm>
          <a:off x="22440900" y="23037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114</xdr:row>
      <xdr:rowOff>0</xdr:rowOff>
    </xdr:from>
    <xdr:to>
      <xdr:col>15</xdr:col>
      <xdr:colOff>228600</xdr:colOff>
      <xdr:row>115</xdr:row>
      <xdr:rowOff>25400</xdr:rowOff>
    </xdr:to>
    <xdr:sp macro="" textlink="">
      <xdr:nvSpPr>
        <xdr:cNvPr id="1047" name="AutoShape 23" descr="lock">
          <a:extLst>
            <a:ext uri="{FF2B5EF4-FFF2-40B4-BE49-F238E27FC236}">
              <a16:creationId xmlns:a16="http://schemas.microsoft.com/office/drawing/2014/main" id="{685C8A77-337A-2E7E-A5B2-63E8F1DAF240}"/>
            </a:ext>
          </a:extLst>
        </xdr:cNvPr>
        <xdr:cNvSpPr>
          <a:spLocks noChangeAspect="1" noChangeArrowheads="1"/>
        </xdr:cNvSpPr>
      </xdr:nvSpPr>
      <xdr:spPr bwMode="auto">
        <a:xfrm>
          <a:off x="21615400" y="2324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114</xdr:row>
      <xdr:rowOff>0</xdr:rowOff>
    </xdr:from>
    <xdr:to>
      <xdr:col>16</xdr:col>
      <xdr:colOff>228600</xdr:colOff>
      <xdr:row>115</xdr:row>
      <xdr:rowOff>25400</xdr:rowOff>
    </xdr:to>
    <xdr:sp macro="" textlink="">
      <xdr:nvSpPr>
        <xdr:cNvPr id="1048" name="AutoShape 24" descr="lock">
          <a:extLst>
            <a:ext uri="{FF2B5EF4-FFF2-40B4-BE49-F238E27FC236}">
              <a16:creationId xmlns:a16="http://schemas.microsoft.com/office/drawing/2014/main" id="{AA21E85E-D004-2405-2D42-F1DBD0770587}"/>
            </a:ext>
          </a:extLst>
        </xdr:cNvPr>
        <xdr:cNvSpPr>
          <a:spLocks noChangeAspect="1" noChangeArrowheads="1"/>
        </xdr:cNvSpPr>
      </xdr:nvSpPr>
      <xdr:spPr bwMode="auto">
        <a:xfrm>
          <a:off x="22440900" y="2324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CC38A0-0C10-A746-82F8-9550B14A822B}" name="Table2" displayName="Table2" ref="B16:H21" totalsRowShown="0" headerRowDxfId="47">
  <autoFilter ref="B16:H21" xr:uid="{69CC38A0-0C10-A746-82F8-9550B14A822B}"/>
  <tableColumns count="7">
    <tableColumn id="1" xr3:uid="{68BE920A-FA91-F74E-85D4-401F36EF79E1}" name="Multiple "/>
    <tableColumn id="2" xr3:uid="{26E5A65D-06E5-DC44-B6B5-83B40B72A37A}" name="TCS" dataDxfId="46"/>
    <tableColumn id="3" xr3:uid="{83D8A2A2-1957-2B4A-B9AD-02991CD11763}" name="Infosys" dataDxfId="45"/>
    <tableColumn id="4" xr3:uid="{EC8A0637-ABB8-4041-B4C0-3E7ABA136238}" name="Wipro" dataDxfId="44"/>
    <tableColumn id="5" xr3:uid="{9137ACB0-C727-D744-AB9A-49395F1AFAD9}" name="Tech Mahindra" dataDxfId="43"/>
    <tableColumn id="6" xr3:uid="{3B7E3154-1739-CD43-91ED-AF0DEFF09586}" name="HCL Tech" dataDxfId="42">
      <calculatedColumnFormula>G11/45.25</calculatedColumnFormula>
    </tableColumn>
    <tableColumn id="7" xr3:uid="{5127FD23-68BF-084A-9A39-197347F4E354}" name="LTI Mindtree" dataDxfId="41">
      <calculatedColumnFormula>H11/155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99AE3B-6AC9-0642-99AF-06C7D92176ED}" name="Table3" displayName="Table3" ref="B4:H11" totalsRowShown="0" headerRowDxfId="40" dataDxfId="39">
  <autoFilter ref="B4:H11" xr:uid="{ED99AE3B-6AC9-0642-99AF-06C7D92176ED}"/>
  <tableColumns count="7">
    <tableColumn id="1" xr3:uid="{E465E3EC-6D73-1C44-B8CA-453ACFFB8EE9}" name="Ratio / Metric (in Rs. Cr)" dataDxfId="38"/>
    <tableColumn id="2" xr3:uid="{EAF505F8-C96E-3A4F-83EF-271740CD03D5}" name="TCS" dataDxfId="37"/>
    <tableColumn id="3" xr3:uid="{D2D36D96-08E6-5948-8CC5-789203E1C52B}" name="Infosys" dataDxfId="36"/>
    <tableColumn id="4" xr3:uid="{672F4B75-8F26-3546-A683-2BB0992C1CB5}" name="Wipro" dataDxfId="35"/>
    <tableColumn id="5" xr3:uid="{40AD15AF-C086-4F46-B0B3-A32C6BE9402F}" name="Tech Mahindra" dataDxfId="34"/>
    <tableColumn id="6" xr3:uid="{3A83FA7B-34FC-4941-B47F-D3BAD59CBA61}" name="HCL Tech" dataDxfId="33"/>
    <tableColumn id="7" xr3:uid="{26D58294-6CBB-3A4C-893A-877B40B353C5}" name="LTI MindTree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31DADF-8B09-AD48-83F8-D04431D7B4B3}" name="Table4" displayName="Table4" ref="J4:P8" totalsRowShown="0" headerRowDxfId="31">
  <autoFilter ref="J4:P8" xr:uid="{3F31DADF-8B09-AD48-83F8-D04431D7B4B3}"/>
  <tableColumns count="7">
    <tableColumn id="1" xr3:uid="{E7D4C7D6-CBE5-B84F-B747-F2A30A0CF9E8}" name="Ratio"/>
    <tableColumn id="2" xr3:uid="{BB25C977-27E4-534D-8CB2-299437D5F20F}" name="TCS"/>
    <tableColumn id="3" xr3:uid="{EECE39D7-CDD2-0742-8D29-B17FC5BC0D39}" name="Infosys"/>
    <tableColumn id="4" xr3:uid="{1190FBBE-7328-B34C-8340-7F157A4DEEC9}" name="Wipro"/>
    <tableColumn id="5" xr3:uid="{994134FD-1AE3-8246-BD69-6C277754133A}" name="Tech Mahindra"/>
    <tableColumn id="6" xr3:uid="{41A1E8BE-C92E-7542-81DD-7B94C2D8759F}" name="HCL Tech" dataDxfId="30">
      <calculatedColumnFormula>#REF!+#REF!</calculatedColumnFormula>
    </tableColumn>
    <tableColumn id="7" xr3:uid="{CBE0E17D-7650-FD4E-AC42-867D4BED3C2A}" name="LTI Mindtree" dataDxfId="29">
      <calculatedColumnFormula>(((#REF!+#REF!)/2)/'Peer Comparison'!G7)*365</calculatedColumnFormula>
    </tableColumn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E3A556-73B5-7C40-8C81-CE34956097E4}" name="Table5" displayName="Table5" ref="J16:P22" totalsRowShown="0" headerRowDxfId="28">
  <autoFilter ref="J16:P22" xr:uid="{0CE3A556-73B5-7C40-8C81-CE34956097E4}"/>
  <tableColumns count="7">
    <tableColumn id="1" xr3:uid="{BD37C450-EC99-5E47-8E97-41E4228780C1}" name="Ratio"/>
    <tableColumn id="2" xr3:uid="{0FB13A01-D137-0B4D-84C8-BFC97D1591C4}" name="TCS" dataDxfId="27" dataCellStyle="Per cent"/>
    <tableColumn id="3" xr3:uid="{5D0A08C8-B499-B446-87B8-B760642D37E2}" name="Infosys" dataDxfId="26" dataCellStyle="Per cent"/>
    <tableColumn id="4" xr3:uid="{BEAA7A09-FE2D-344A-8F07-608E86AE5F89}" name="Wipro" dataDxfId="25" dataCellStyle="Per cent"/>
    <tableColumn id="5" xr3:uid="{A78B186E-59E5-4D4E-80F0-BABADF2B96A4}" name="Tech Mahindra" dataDxfId="24" dataCellStyle="Per cent"/>
    <tableColumn id="6" xr3:uid="{9DB3F2E6-FF48-B04C-8AED-3D2A182BECC6}" name="HCL Tech"/>
    <tableColumn id="7" xr3:uid="{14DE6AF7-6E8C-784A-AE29-A57EB0848978}" name="LTI Mindtree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FC5FC5-10B2-DE42-B1D6-38928A88DD6A}" name="Table6" displayName="Table6" ref="J27:P30" totalsRowShown="0" headerRowDxfId="23">
  <autoFilter ref="J27:P30" xr:uid="{E1FC5FC5-10B2-DE42-B1D6-38928A88DD6A}"/>
  <tableColumns count="7">
    <tableColumn id="1" xr3:uid="{1BFB752D-208D-FA42-AA7D-024E5D6204D1}" name="Ratio"/>
    <tableColumn id="2" xr3:uid="{60E62CB1-4AE3-124D-90F3-B3B35FA4E281}" name="TCS"/>
    <tableColumn id="3" xr3:uid="{EF7A80E8-3858-3144-94CF-25A7F9779FF2}" name="Infosys"/>
    <tableColumn id="4" xr3:uid="{D3539ADF-FFC3-B049-8858-5FD372A92192}" name="Wipro"/>
    <tableColumn id="5" xr3:uid="{363FE3DA-9423-0F4D-8F26-DBB2A78BC6AE}" name="Tech Mahindra"/>
    <tableColumn id="6" xr3:uid="{C7A30590-1216-6E43-AD83-F954A4E37160}" name="HCL Tech"/>
    <tableColumn id="7" xr3:uid="{A7F8B991-8B61-5D49-905E-BDEAC4C4801B}" name="LTI Mindtree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D6119A-7761-A84F-A63C-B882A8BF54ED}" name="Table7" displayName="Table7" ref="B27:H30" totalsRowShown="0" headerRowDxfId="22">
  <autoFilter ref="B27:H30" xr:uid="{4BD6119A-7761-A84F-A63C-B882A8BF54ED}"/>
  <tableColumns count="7">
    <tableColumn id="1" xr3:uid="{177A385C-9EA1-9E4A-A50D-679A40C3C1A5}" name="Ratio"/>
    <tableColumn id="2" xr3:uid="{81685A16-BC03-1647-9666-DC5FE48CB343}" name="TCS" dataDxfId="21"/>
    <tableColumn id="3" xr3:uid="{857E09CE-44CC-724B-9806-10BAF620210B}" name="Infosys" dataDxfId="20"/>
    <tableColumn id="4" xr3:uid="{C8F8F64E-F39D-FF48-B634-9E0F8DC602FC}" name="Wipro" dataDxfId="19"/>
    <tableColumn id="5" xr3:uid="{6D355066-76A2-D346-9981-0FCC2FD4F4D3}" name="Tech Mahindra" dataDxfId="18"/>
    <tableColumn id="6" xr3:uid="{741D90B6-66BB-7946-95C9-B3D935557465}" name="HCL Tech" dataDxfId="17" dataCellStyle="Per cent">
      <calculatedColumnFormula>21260/G9</calculatedColumnFormula>
    </tableColumn>
    <tableColumn id="7" xr3:uid="{9F927C3D-81AA-9B4C-9AAA-509663122BC5}" name="LTI Mindtree" dataDxfId="16" dataCellStyle="Per cent">
      <calculatedColumnFormula>3596.2/H9</calculatedColumnFormula>
    </tableColumn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397A2E-9503-964E-8DDF-407C951232B0}" name="Table1" displayName="Table1" ref="C3:I9" totalsRowShown="0" tableBorderDxfId="15">
  <autoFilter ref="C3:I9" xr:uid="{F7397A2E-9503-964E-8DDF-407C951232B0}"/>
  <tableColumns count="7">
    <tableColumn id="1" xr3:uid="{71F98A6B-19D5-D245-9CE4-FBE62A745C68}" name="Multiple" dataDxfId="14"/>
    <tableColumn id="2" xr3:uid="{55CD5E42-A915-A74E-90D5-2D7FE870473F}" name="Tata Consultancy Services" dataDxfId="13"/>
    <tableColumn id="3" xr3:uid="{6116CE0C-4C07-9944-8A07-A033D0940EA5}" name="Infosys" dataDxfId="12"/>
    <tableColumn id="4" xr3:uid="{62203FF7-D9B4-7645-949C-8C2F4F59A26A}" name="Wipro" dataDxfId="11"/>
    <tableColumn id="5" xr3:uid="{FCCF7359-A8A8-7349-A873-F9C513554C09}" name="Tech Mahindra" dataDxfId="10"/>
    <tableColumn id="6" xr3:uid="{347D7EC8-DB67-EB42-9C61-7FDEDBC7624D}" name="HCL Tech" dataDxfId="9"/>
    <tableColumn id="7" xr3:uid="{F6165DE8-CA19-1241-B8A4-F493A1DD2563}" name="LTI Mindtree" dataDxfId="8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FAEDFA6-C2F4-4741-BFF2-A59699075BB1}" name="Table9" displayName="Table9" ref="C13:G19" totalsRowShown="0" headerRowDxfId="7" dataDxfId="6" tableBorderDxfId="5">
  <autoFilter ref="C13:G19" xr:uid="{0FAEDFA6-C2F4-4741-BFF2-A59699075BB1}"/>
  <tableColumns count="5">
    <tableColumn id="1" xr3:uid="{A71BD637-5C87-DB4F-912E-38BEA8E8F125}" name="Multiple" dataDxfId="4"/>
    <tableColumn id="2" xr3:uid="{8DAC3315-D5CA-884B-8070-30572CE27F9C}" name="Peer Median" dataDxfId="3">
      <calculatedColumnFormula>MEDIAN(E4:I4)</calculatedColumnFormula>
    </tableColumn>
    <tableColumn id="3" xr3:uid="{1E4B09E2-3E8C-9940-A848-3644DA0FB657}" name="Target Metric" dataDxfId="2"/>
    <tableColumn id="4" xr3:uid="{DA45A190-A455-7443-A831-86F46705776D}" name="Implied EV / Equity Value" dataDxfId="1">
      <calculatedColumnFormula>D14*E14</calculatedColumnFormula>
    </tableColumn>
    <tableColumn id="5" xr3:uid="{D4BE4953-C684-0A4B-A50B-87A0923FD565}" name="Implied Share Price" dataDxfId="0">
      <calculatedColumnFormula>F14/361.9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237C-2610-2244-AAF6-230343306F6F}">
  <dimension ref="B2:AS115"/>
  <sheetViews>
    <sheetView zoomScale="117" zoomScaleNormal="75" workbookViewId="0">
      <selection activeCell="BB34" sqref="BB34"/>
    </sheetView>
  </sheetViews>
  <sheetFormatPr baseColWidth="10" defaultRowHeight="16" x14ac:dyDescent="0.2"/>
  <cols>
    <col min="2" max="2" width="53" bestFit="1" customWidth="1"/>
    <col min="3" max="3" width="9.1640625" bestFit="1" customWidth="1"/>
    <col min="4" max="7" width="12" bestFit="1" customWidth="1"/>
    <col min="10" max="10" width="9.6640625" customWidth="1"/>
    <col min="11" max="11" width="47.83203125" bestFit="1" customWidth="1"/>
    <col min="12" max="13" width="12" bestFit="1" customWidth="1"/>
    <col min="14" max="14" width="9.1640625" bestFit="1" customWidth="1"/>
    <col min="15" max="15" width="12" bestFit="1" customWidth="1"/>
    <col min="19" max="19" width="70.5" bestFit="1" customWidth="1"/>
    <col min="22" max="22" width="10.83203125" customWidth="1"/>
    <col min="23" max="23" width="9.6640625" bestFit="1" customWidth="1"/>
    <col min="24" max="24" width="9.6640625" customWidth="1"/>
  </cols>
  <sheetData>
    <row r="2" spans="2:45" ht="19" x14ac:dyDescent="0.25">
      <c r="B2" s="94" t="s">
        <v>165</v>
      </c>
      <c r="C2" s="74">
        <v>2020</v>
      </c>
      <c r="D2" s="74">
        <v>2021</v>
      </c>
      <c r="E2" s="74">
        <v>2022</v>
      </c>
      <c r="F2" s="74">
        <v>2023</v>
      </c>
      <c r="G2" s="74">
        <v>2024</v>
      </c>
      <c r="H2" s="74">
        <v>2025</v>
      </c>
      <c r="K2" s="15" t="s">
        <v>134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  <c r="S2" s="15" t="s">
        <v>166</v>
      </c>
      <c r="T2">
        <v>2020</v>
      </c>
      <c r="U2">
        <v>2021</v>
      </c>
      <c r="V2">
        <v>2022</v>
      </c>
      <c r="W2">
        <v>2023</v>
      </c>
      <c r="X2">
        <v>2024</v>
      </c>
      <c r="Y2">
        <v>2025</v>
      </c>
    </row>
    <row r="3" spans="2:45" x14ac:dyDescent="0.2">
      <c r="B3" s="69" t="s">
        <v>135</v>
      </c>
      <c r="C3" s="69">
        <v>375</v>
      </c>
      <c r="D3" s="69">
        <v>370</v>
      </c>
      <c r="E3" s="69">
        <v>366</v>
      </c>
      <c r="F3" s="69">
        <v>366</v>
      </c>
      <c r="G3" s="69">
        <v>362</v>
      </c>
      <c r="H3" s="69">
        <v>362</v>
      </c>
      <c r="J3" s="2"/>
      <c r="K3" s="67" t="s">
        <v>115</v>
      </c>
      <c r="L3" s="68">
        <v>156949</v>
      </c>
      <c r="M3" s="68">
        <v>164177</v>
      </c>
      <c r="N3" s="68">
        <v>191754</v>
      </c>
      <c r="O3" s="68">
        <v>225458</v>
      </c>
      <c r="P3" s="68">
        <v>240893</v>
      </c>
      <c r="Q3" s="68">
        <v>255324</v>
      </c>
      <c r="S3" s="67" t="s">
        <v>88</v>
      </c>
      <c r="T3" s="68">
        <v>32369</v>
      </c>
      <c r="U3" s="68">
        <v>38802</v>
      </c>
      <c r="V3" s="68">
        <v>39949</v>
      </c>
      <c r="W3" s="68">
        <v>41965</v>
      </c>
      <c r="X3" s="68">
        <v>44338</v>
      </c>
      <c r="Y3" s="68">
        <v>48908</v>
      </c>
    </row>
    <row r="4" spans="2:45" x14ac:dyDescent="0.2">
      <c r="B4" s="69" t="s">
        <v>136</v>
      </c>
      <c r="C4" s="70">
        <v>83751</v>
      </c>
      <c r="D4" s="70">
        <v>86063</v>
      </c>
      <c r="E4" s="70">
        <v>88773</v>
      </c>
      <c r="F4" s="70">
        <v>90058</v>
      </c>
      <c r="G4" s="70">
        <v>90127</v>
      </c>
      <c r="H4" s="70">
        <v>94394</v>
      </c>
      <c r="J4" s="66"/>
      <c r="K4" s="69" t="s">
        <v>116</v>
      </c>
      <c r="L4" s="72">
        <v>7.1599999999999997E-2</v>
      </c>
      <c r="M4" s="72">
        <v>4.6100000000000002E-2</v>
      </c>
      <c r="N4" s="72">
        <v>0.16800000000000001</v>
      </c>
      <c r="O4" s="72">
        <v>0.17580000000000001</v>
      </c>
      <c r="P4" s="72">
        <v>6.8500000000000005E-2</v>
      </c>
      <c r="Q4" s="72">
        <v>5.9900000000000002E-2</v>
      </c>
      <c r="S4" s="67" t="s">
        <v>89</v>
      </c>
      <c r="T4" s="68">
        <v>42882</v>
      </c>
      <c r="U4" s="68">
        <v>47031</v>
      </c>
      <c r="V4" s="68">
        <v>54204</v>
      </c>
      <c r="W4" s="68">
        <v>59148</v>
      </c>
      <c r="X4" s="68">
        <v>63709</v>
      </c>
      <c r="Y4" s="68">
        <v>67853</v>
      </c>
      <c r="AC4" s="9"/>
      <c r="AD4" s="9"/>
      <c r="AE4" s="9"/>
      <c r="AF4" s="9"/>
      <c r="AG4" s="9"/>
      <c r="AH4" s="9"/>
      <c r="AI4" s="9"/>
      <c r="AJ4" s="9"/>
      <c r="AK4" s="9"/>
    </row>
    <row r="5" spans="2:45" x14ac:dyDescent="0.2">
      <c r="B5" s="67" t="s">
        <v>137</v>
      </c>
      <c r="C5" s="68">
        <v>8174</v>
      </c>
      <c r="D5" s="68">
        <v>7795</v>
      </c>
      <c r="E5" s="68">
        <v>7818</v>
      </c>
      <c r="F5" s="68">
        <v>7688</v>
      </c>
      <c r="G5" s="68">
        <v>8021</v>
      </c>
      <c r="H5" s="68">
        <v>9392</v>
      </c>
      <c r="J5" s="73"/>
      <c r="K5" s="67" t="s">
        <v>117</v>
      </c>
      <c r="L5" s="68">
        <v>114840</v>
      </c>
      <c r="M5" s="68">
        <v>117631</v>
      </c>
      <c r="N5" s="68">
        <v>138697</v>
      </c>
      <c r="O5" s="68">
        <v>166199</v>
      </c>
      <c r="P5" s="68">
        <v>176597</v>
      </c>
      <c r="Q5" s="68">
        <v>187917</v>
      </c>
      <c r="S5" s="69" t="s">
        <v>6</v>
      </c>
      <c r="T5" s="70">
        <v>-3295</v>
      </c>
      <c r="U5" s="70">
        <v>1059</v>
      </c>
      <c r="V5" s="70">
        <v>-5144</v>
      </c>
      <c r="W5" s="70">
        <v>-7683</v>
      </c>
      <c r="X5" s="70">
        <v>-3332</v>
      </c>
      <c r="Y5" s="70">
        <v>-5228</v>
      </c>
      <c r="Z5" s="9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0"/>
      <c r="AL5" s="10"/>
      <c r="AM5" s="10"/>
      <c r="AN5" s="10"/>
      <c r="AO5" s="10"/>
      <c r="AP5" s="10"/>
      <c r="AQ5" s="10"/>
      <c r="AR5" s="10"/>
      <c r="AS5" s="10"/>
    </row>
    <row r="6" spans="2:45" x14ac:dyDescent="0.2">
      <c r="B6" s="69" t="s">
        <v>138</v>
      </c>
      <c r="C6" s="69">
        <v>0</v>
      </c>
      <c r="D6" s="69">
        <v>0</v>
      </c>
      <c r="E6" s="69">
        <v>0</v>
      </c>
      <c r="F6" s="69">
        <v>0</v>
      </c>
      <c r="G6" s="69">
        <v>0</v>
      </c>
      <c r="H6" s="69">
        <v>0</v>
      </c>
      <c r="J6" s="69"/>
      <c r="K6" s="69" t="s">
        <v>118</v>
      </c>
      <c r="L6" s="71">
        <v>0</v>
      </c>
      <c r="M6" s="71">
        <v>0</v>
      </c>
      <c r="N6" s="71">
        <v>0</v>
      </c>
      <c r="O6" s="71">
        <v>0</v>
      </c>
      <c r="P6" s="71">
        <v>0</v>
      </c>
      <c r="Q6" s="71">
        <v>0</v>
      </c>
      <c r="S6" s="69" t="s">
        <v>84</v>
      </c>
      <c r="T6" s="69">
        <v>5</v>
      </c>
      <c r="U6" s="69">
        <v>-3</v>
      </c>
      <c r="V6" s="69">
        <v>-12</v>
      </c>
      <c r="W6" s="69">
        <v>-8</v>
      </c>
      <c r="X6" s="69">
        <v>0</v>
      </c>
      <c r="Y6" s="69">
        <v>7</v>
      </c>
      <c r="AF6" s="6"/>
      <c r="AG6" s="6"/>
      <c r="AH6" s="11"/>
      <c r="AI6" s="11"/>
      <c r="AJ6" s="11"/>
      <c r="AK6" s="11"/>
      <c r="AL6" s="11"/>
    </row>
    <row r="7" spans="2:45" x14ac:dyDescent="0.2">
      <c r="B7" s="69" t="s">
        <v>139</v>
      </c>
      <c r="C7" s="69">
        <v>0</v>
      </c>
      <c r="D7" s="69">
        <v>0</v>
      </c>
      <c r="E7" s="69">
        <v>0</v>
      </c>
      <c r="F7" s="69">
        <v>0</v>
      </c>
      <c r="G7" s="69">
        <v>0</v>
      </c>
      <c r="H7" s="69">
        <v>0</v>
      </c>
      <c r="J7" s="70"/>
      <c r="K7" s="69" t="s">
        <v>119</v>
      </c>
      <c r="L7" s="71">
        <v>0.01</v>
      </c>
      <c r="M7" s="71">
        <v>0.01</v>
      </c>
      <c r="N7" s="71">
        <v>0.01</v>
      </c>
      <c r="O7" s="71">
        <v>0.01</v>
      </c>
      <c r="P7" s="71">
        <v>0.02</v>
      </c>
      <c r="Q7" s="71">
        <v>0.05</v>
      </c>
      <c r="S7" s="69" t="s">
        <v>90</v>
      </c>
      <c r="T7" s="69">
        <v>446</v>
      </c>
      <c r="U7" s="69">
        <v>-93</v>
      </c>
      <c r="V7" s="69">
        <v>186</v>
      </c>
      <c r="W7" s="70">
        <v>2036</v>
      </c>
      <c r="X7" s="69">
        <v>-632</v>
      </c>
      <c r="Y7" s="70">
        <v>3718</v>
      </c>
    </row>
    <row r="8" spans="2:45" x14ac:dyDescent="0.2">
      <c r="B8" s="69" t="s">
        <v>140</v>
      </c>
      <c r="C8" s="70">
        <v>8174</v>
      </c>
      <c r="D8" s="70">
        <v>7795</v>
      </c>
      <c r="E8" s="70">
        <v>7818</v>
      </c>
      <c r="F8" s="70">
        <v>7688</v>
      </c>
      <c r="G8" s="70">
        <v>8021</v>
      </c>
      <c r="H8" s="70">
        <v>9392</v>
      </c>
      <c r="J8" s="68"/>
      <c r="K8" s="69" t="s">
        <v>120</v>
      </c>
      <c r="L8" s="71">
        <v>0.55000000000000004</v>
      </c>
      <c r="M8" s="71">
        <v>0.56000000000000005</v>
      </c>
      <c r="N8" s="71">
        <v>0.56000000000000005</v>
      </c>
      <c r="O8" s="71">
        <v>0.56999999999999995</v>
      </c>
      <c r="P8" s="71">
        <v>0.57999999999999996</v>
      </c>
      <c r="Q8" s="71">
        <v>0.56999999999999995</v>
      </c>
      <c r="S8" s="69" t="s">
        <v>91</v>
      </c>
      <c r="T8" s="69">
        <v>0</v>
      </c>
      <c r="U8" s="69">
        <v>-17</v>
      </c>
      <c r="V8" s="69">
        <v>-116</v>
      </c>
      <c r="W8" s="69">
        <v>261</v>
      </c>
      <c r="X8" s="69">
        <v>-301</v>
      </c>
      <c r="Y8" s="69">
        <v>-738</v>
      </c>
    </row>
    <row r="9" spans="2:45" x14ac:dyDescent="0.2">
      <c r="B9" s="69" t="s">
        <v>141</v>
      </c>
      <c r="C9" s="69">
        <v>0</v>
      </c>
      <c r="D9" s="69">
        <v>0</v>
      </c>
      <c r="E9" s="69">
        <v>0</v>
      </c>
      <c r="F9" s="69">
        <v>0</v>
      </c>
      <c r="G9" s="69">
        <v>0</v>
      </c>
      <c r="H9" s="69">
        <v>0</v>
      </c>
      <c r="J9" s="69"/>
      <c r="K9" s="69" t="s">
        <v>121</v>
      </c>
      <c r="L9" s="71">
        <v>0.17</v>
      </c>
      <c r="M9" s="71">
        <v>0.15</v>
      </c>
      <c r="N9" s="71">
        <v>0.16</v>
      </c>
      <c r="O9" s="71">
        <v>0.16</v>
      </c>
      <c r="P9" s="71">
        <v>0.14000000000000001</v>
      </c>
      <c r="Q9" s="71">
        <v>0.12</v>
      </c>
      <c r="S9" s="69" t="s">
        <v>92</v>
      </c>
      <c r="T9" s="70">
        <v>-1823</v>
      </c>
      <c r="U9" s="69">
        <v>-83</v>
      </c>
      <c r="V9" s="70">
        <v>2317</v>
      </c>
      <c r="W9" s="70">
        <v>1177</v>
      </c>
      <c r="X9" s="70">
        <v>-2617</v>
      </c>
      <c r="Y9" s="70">
        <v>-1118</v>
      </c>
    </row>
    <row r="10" spans="2:45" x14ac:dyDescent="0.2">
      <c r="B10" s="67" t="s">
        <v>142</v>
      </c>
      <c r="C10" s="68">
        <v>27827</v>
      </c>
      <c r="D10" s="68">
        <v>35764</v>
      </c>
      <c r="E10" s="68">
        <v>43967</v>
      </c>
      <c r="F10" s="68">
        <v>44747</v>
      </c>
      <c r="G10" s="68">
        <v>46962</v>
      </c>
      <c r="H10" s="68">
        <v>54501</v>
      </c>
      <c r="J10" s="69"/>
      <c r="K10" s="67" t="s">
        <v>78</v>
      </c>
      <c r="L10" s="68">
        <v>42109</v>
      </c>
      <c r="M10" s="68">
        <v>46546</v>
      </c>
      <c r="N10" s="68">
        <v>53057</v>
      </c>
      <c r="O10" s="68">
        <v>59259</v>
      </c>
      <c r="P10" s="68">
        <v>64296</v>
      </c>
      <c r="Q10" s="68">
        <v>67407</v>
      </c>
      <c r="S10" s="67" t="s">
        <v>93</v>
      </c>
      <c r="T10" s="68">
        <v>-4667</v>
      </c>
      <c r="U10" s="67">
        <v>863</v>
      </c>
      <c r="V10" s="68">
        <v>-2769</v>
      </c>
      <c r="W10" s="68">
        <v>-4217</v>
      </c>
      <c r="X10" s="68">
        <v>-6882</v>
      </c>
      <c r="Y10" s="68">
        <v>-3359</v>
      </c>
    </row>
    <row r="11" spans="2:45" x14ac:dyDescent="0.2">
      <c r="B11" s="69" t="s">
        <v>143</v>
      </c>
      <c r="C11" s="69">
        <v>623</v>
      </c>
      <c r="D11" s="69">
        <v>675</v>
      </c>
      <c r="E11" s="69">
        <v>707</v>
      </c>
      <c r="F11" s="69">
        <v>782</v>
      </c>
      <c r="G11" s="69">
        <v>830</v>
      </c>
      <c r="H11" s="70">
        <v>1015</v>
      </c>
      <c r="J11" s="70"/>
      <c r="K11" s="69" t="s">
        <v>79</v>
      </c>
      <c r="L11" s="71">
        <v>0.27</v>
      </c>
      <c r="M11" s="71">
        <v>0.28000000000000003</v>
      </c>
      <c r="N11" s="71">
        <v>0.28000000000000003</v>
      </c>
      <c r="O11" s="71">
        <v>0.26</v>
      </c>
      <c r="P11" s="71">
        <v>0.27</v>
      </c>
      <c r="Q11" s="71">
        <v>0.26</v>
      </c>
      <c r="S11" s="69" t="s">
        <v>94</v>
      </c>
      <c r="T11" s="70">
        <v>-5846</v>
      </c>
      <c r="U11" s="70">
        <v>-9092</v>
      </c>
      <c r="V11" s="70">
        <v>-11486</v>
      </c>
      <c r="W11" s="70">
        <v>-12966</v>
      </c>
      <c r="X11" s="70">
        <v>-12489</v>
      </c>
      <c r="Y11" s="70">
        <v>-15586</v>
      </c>
    </row>
    <row r="12" spans="2:45" x14ac:dyDescent="0.2">
      <c r="B12" s="69" t="s">
        <v>0</v>
      </c>
      <c r="C12" s="70">
        <v>6740</v>
      </c>
      <c r="D12" s="70">
        <v>7860</v>
      </c>
      <c r="E12" s="70">
        <v>8045</v>
      </c>
      <c r="F12" s="70">
        <v>10515</v>
      </c>
      <c r="G12" s="70">
        <v>9981</v>
      </c>
      <c r="H12" s="70">
        <v>13909</v>
      </c>
      <c r="J12" s="69"/>
      <c r="K12" s="67" t="s">
        <v>122</v>
      </c>
      <c r="L12" s="68">
        <v>4592</v>
      </c>
      <c r="M12" s="68">
        <v>1916</v>
      </c>
      <c r="N12" s="68">
        <v>4018</v>
      </c>
      <c r="O12" s="68">
        <v>3449</v>
      </c>
      <c r="P12" s="68">
        <v>3464</v>
      </c>
      <c r="Q12" s="68">
        <v>3962</v>
      </c>
      <c r="S12" s="67" t="s">
        <v>95</v>
      </c>
      <c r="T12" s="68">
        <v>8968</v>
      </c>
      <c r="U12" s="68">
        <v>-7956</v>
      </c>
      <c r="V12" s="67">
        <v>-738</v>
      </c>
      <c r="W12" s="67">
        <v>548</v>
      </c>
      <c r="X12" s="68">
        <v>6091</v>
      </c>
      <c r="Y12" s="68">
        <v>-2144</v>
      </c>
    </row>
    <row r="13" spans="2:45" x14ac:dyDescent="0.2">
      <c r="B13" s="69" t="s">
        <v>144</v>
      </c>
      <c r="C13" s="69">
        <v>345</v>
      </c>
      <c r="D13" s="69">
        <v>312</v>
      </c>
      <c r="E13" s="69">
        <v>468</v>
      </c>
      <c r="F13" s="69">
        <v>543</v>
      </c>
      <c r="G13" s="70">
        <v>1841</v>
      </c>
      <c r="H13" s="70">
        <v>1896</v>
      </c>
      <c r="J13" s="68"/>
      <c r="K13" s="69" t="s">
        <v>123</v>
      </c>
      <c r="L13" s="69">
        <v>60</v>
      </c>
      <c r="M13" s="70">
        <v>-1205</v>
      </c>
      <c r="N13" s="69">
        <v>23</v>
      </c>
      <c r="O13" s="69">
        <v>30</v>
      </c>
      <c r="P13" s="69">
        <v>-933</v>
      </c>
      <c r="Q13" s="69">
        <v>46</v>
      </c>
      <c r="S13" s="69" t="s">
        <v>96</v>
      </c>
      <c r="T13" s="70">
        <v>-3249</v>
      </c>
      <c r="U13" s="70">
        <v>-3176</v>
      </c>
      <c r="V13" s="70">
        <v>-2995</v>
      </c>
      <c r="W13" s="70">
        <v>-3100</v>
      </c>
      <c r="X13" s="70">
        <v>-2674</v>
      </c>
      <c r="Y13" s="70">
        <v>-3937</v>
      </c>
      <c r="AF13" s="11"/>
      <c r="AG13" s="11"/>
    </row>
    <row r="14" spans="2:45" x14ac:dyDescent="0.2">
      <c r="B14" s="69" t="s">
        <v>145</v>
      </c>
      <c r="C14" s="70">
        <v>20119</v>
      </c>
      <c r="D14" s="70">
        <v>26917</v>
      </c>
      <c r="E14" s="70">
        <v>34747</v>
      </c>
      <c r="F14" s="70">
        <v>32907</v>
      </c>
      <c r="G14" s="70">
        <v>34310</v>
      </c>
      <c r="H14" s="70">
        <v>37681</v>
      </c>
      <c r="J14" s="70"/>
      <c r="K14" s="69" t="s">
        <v>124</v>
      </c>
      <c r="L14" s="70">
        <v>4532</v>
      </c>
      <c r="M14" s="70">
        <v>3121</v>
      </c>
      <c r="N14" s="70">
        <v>3995</v>
      </c>
      <c r="O14" s="70">
        <v>3419</v>
      </c>
      <c r="P14" s="70">
        <v>4397</v>
      </c>
      <c r="Q14" s="70">
        <v>3916</v>
      </c>
      <c r="S14" s="69" t="s">
        <v>97</v>
      </c>
      <c r="T14" s="69">
        <v>161</v>
      </c>
      <c r="U14" s="69">
        <v>37</v>
      </c>
      <c r="V14" s="69">
        <v>31</v>
      </c>
      <c r="W14" s="69">
        <v>37</v>
      </c>
      <c r="X14" s="69">
        <v>24</v>
      </c>
      <c r="Y14" s="69">
        <v>23</v>
      </c>
    </row>
    <row r="15" spans="2:45" x14ac:dyDescent="0.2">
      <c r="B15" s="67" t="s">
        <v>63</v>
      </c>
      <c r="C15" s="68">
        <v>120127</v>
      </c>
      <c r="D15" s="68">
        <v>129992</v>
      </c>
      <c r="E15" s="68">
        <v>140924</v>
      </c>
      <c r="F15" s="68">
        <v>142859</v>
      </c>
      <c r="G15" s="68">
        <v>145472</v>
      </c>
      <c r="H15" s="68">
        <v>158649</v>
      </c>
      <c r="J15" s="70"/>
      <c r="K15" s="69" t="s">
        <v>80</v>
      </c>
      <c r="L15" s="69">
        <v>924</v>
      </c>
      <c r="M15" s="69">
        <v>637</v>
      </c>
      <c r="N15" s="69">
        <v>784</v>
      </c>
      <c r="O15" s="69">
        <v>779</v>
      </c>
      <c r="P15" s="69">
        <v>778</v>
      </c>
      <c r="Q15" s="69">
        <v>796</v>
      </c>
      <c r="S15" s="69" t="s">
        <v>98</v>
      </c>
      <c r="T15" s="70">
        <v>-80002</v>
      </c>
      <c r="U15" s="70">
        <v>-54462</v>
      </c>
      <c r="V15" s="70">
        <v>-75374</v>
      </c>
      <c r="W15" s="70">
        <v>-129745</v>
      </c>
      <c r="X15" s="70">
        <v>-141011</v>
      </c>
      <c r="Y15" s="70">
        <v>-145962</v>
      </c>
    </row>
    <row r="16" spans="2:45" x14ac:dyDescent="0.2">
      <c r="B16" s="67" t="s">
        <v>146</v>
      </c>
      <c r="C16" s="68">
        <v>20928</v>
      </c>
      <c r="D16" s="68">
        <v>21021</v>
      </c>
      <c r="E16" s="68">
        <v>21298</v>
      </c>
      <c r="F16" s="68">
        <v>20515</v>
      </c>
      <c r="G16" s="68">
        <v>19604</v>
      </c>
      <c r="H16" s="68">
        <v>23053</v>
      </c>
      <c r="J16" s="69"/>
      <c r="K16" s="69" t="s">
        <v>81</v>
      </c>
      <c r="L16" s="70">
        <v>3529</v>
      </c>
      <c r="M16" s="70">
        <v>4065</v>
      </c>
      <c r="N16" s="70">
        <v>4604</v>
      </c>
      <c r="O16" s="70">
        <v>5022</v>
      </c>
      <c r="P16" s="70">
        <v>4985</v>
      </c>
      <c r="Q16" s="70">
        <v>5242</v>
      </c>
      <c r="S16" s="69" t="s">
        <v>99</v>
      </c>
      <c r="T16" s="70">
        <v>84089</v>
      </c>
      <c r="U16" s="70">
        <v>51630</v>
      </c>
      <c r="V16" s="70">
        <v>73852</v>
      </c>
      <c r="W16" s="70">
        <v>122687</v>
      </c>
      <c r="X16" s="70">
        <v>147204</v>
      </c>
      <c r="Y16" s="70">
        <v>147695</v>
      </c>
    </row>
    <row r="17" spans="2:33" x14ac:dyDescent="0.2">
      <c r="B17" s="69" t="s">
        <v>147</v>
      </c>
      <c r="C17" s="70">
        <v>1041</v>
      </c>
      <c r="D17" s="70">
        <v>1041</v>
      </c>
      <c r="E17" s="70">
        <v>1126</v>
      </c>
      <c r="F17" s="70">
        <v>1304</v>
      </c>
      <c r="G17" s="70">
        <v>1294</v>
      </c>
      <c r="H17" s="70">
        <v>2885</v>
      </c>
      <c r="J17" s="70"/>
      <c r="K17" s="67" t="s">
        <v>125</v>
      </c>
      <c r="L17" s="68">
        <v>42248</v>
      </c>
      <c r="M17" s="68">
        <v>43760</v>
      </c>
      <c r="N17" s="68">
        <v>51687</v>
      </c>
      <c r="O17" s="68">
        <v>56907</v>
      </c>
      <c r="P17" s="68">
        <v>61997</v>
      </c>
      <c r="Q17" s="68">
        <v>65331</v>
      </c>
      <c r="S17" s="69" t="s">
        <v>100</v>
      </c>
      <c r="T17" s="70">
        <v>3729</v>
      </c>
      <c r="U17" s="70">
        <v>2730</v>
      </c>
      <c r="V17" s="70">
        <v>2700</v>
      </c>
      <c r="W17" s="70">
        <v>3080</v>
      </c>
      <c r="X17" s="70">
        <v>2990</v>
      </c>
      <c r="Y17" s="70">
        <v>3056</v>
      </c>
    </row>
    <row r="18" spans="2:33" x14ac:dyDescent="0.2">
      <c r="B18" s="69" t="s">
        <v>148</v>
      </c>
      <c r="C18" s="70">
        <v>18645</v>
      </c>
      <c r="D18" s="70">
        <v>18524</v>
      </c>
      <c r="E18" s="70">
        <v>17007</v>
      </c>
      <c r="F18" s="70">
        <v>18635</v>
      </c>
      <c r="G18" s="70">
        <v>19314</v>
      </c>
      <c r="H18" s="70">
        <v>21379</v>
      </c>
      <c r="K18" s="69" t="s">
        <v>82</v>
      </c>
      <c r="L18" s="71">
        <v>0.23</v>
      </c>
      <c r="M18" s="71">
        <v>0.26</v>
      </c>
      <c r="N18" s="71">
        <v>0.26</v>
      </c>
      <c r="O18" s="71">
        <v>0.26</v>
      </c>
      <c r="P18" s="71">
        <v>0.26</v>
      </c>
      <c r="Q18" s="71">
        <v>0.25</v>
      </c>
      <c r="S18" s="69" t="s">
        <v>101</v>
      </c>
      <c r="T18" s="69">
        <v>8</v>
      </c>
      <c r="U18" s="69">
        <v>8</v>
      </c>
      <c r="V18" s="69">
        <v>4</v>
      </c>
      <c r="W18" s="69">
        <v>13</v>
      </c>
      <c r="X18" s="69">
        <v>26</v>
      </c>
      <c r="Y18" s="69">
        <v>40</v>
      </c>
    </row>
    <row r="19" spans="2:33" x14ac:dyDescent="0.2">
      <c r="B19" s="69" t="s">
        <v>149</v>
      </c>
      <c r="C19" s="69">
        <v>681</v>
      </c>
      <c r="D19" s="69">
        <v>737</v>
      </c>
      <c r="E19" s="69">
        <v>770</v>
      </c>
      <c r="F19" s="69">
        <v>828</v>
      </c>
      <c r="G19" s="69">
        <v>878</v>
      </c>
      <c r="H19" s="69">
        <v>993</v>
      </c>
      <c r="K19" s="67" t="s">
        <v>126</v>
      </c>
      <c r="L19" s="68">
        <v>32447</v>
      </c>
      <c r="M19" s="68">
        <v>32562</v>
      </c>
      <c r="N19" s="68">
        <v>38449</v>
      </c>
      <c r="O19" s="68">
        <v>42303</v>
      </c>
      <c r="P19" s="68">
        <v>46099</v>
      </c>
      <c r="Q19" s="68">
        <v>48797</v>
      </c>
      <c r="S19" s="69" t="s">
        <v>102</v>
      </c>
      <c r="T19" s="69">
        <v>0</v>
      </c>
      <c r="U19" s="69">
        <v>0</v>
      </c>
      <c r="V19" s="69">
        <v>0</v>
      </c>
      <c r="W19" s="69">
        <v>0</v>
      </c>
      <c r="X19" s="69">
        <v>0</v>
      </c>
      <c r="Y19" s="69">
        <v>0</v>
      </c>
    </row>
    <row r="20" spans="2:33" x14ac:dyDescent="0.2">
      <c r="B20" s="69" t="s">
        <v>150</v>
      </c>
      <c r="C20" s="70">
        <v>2522</v>
      </c>
      <c r="D20" s="70">
        <v>2587</v>
      </c>
      <c r="E20" s="70">
        <v>2693</v>
      </c>
      <c r="F20" s="70">
        <v>2823</v>
      </c>
      <c r="G20" s="70">
        <v>2982</v>
      </c>
      <c r="H20" s="70">
        <v>3169</v>
      </c>
      <c r="K20" s="69" t="s">
        <v>127</v>
      </c>
      <c r="L20" s="69">
        <v>-107</v>
      </c>
      <c r="M20" s="69">
        <v>-132</v>
      </c>
      <c r="N20" s="69">
        <v>-122</v>
      </c>
      <c r="O20" s="69">
        <v>-156</v>
      </c>
      <c r="P20" s="69">
        <v>-191</v>
      </c>
      <c r="Q20" s="69">
        <v>-244</v>
      </c>
      <c r="S20" s="69" t="s">
        <v>103</v>
      </c>
      <c r="T20" s="69">
        <v>-473</v>
      </c>
      <c r="U20" s="70">
        <v>-3058</v>
      </c>
      <c r="V20" s="70">
        <v>4879</v>
      </c>
      <c r="W20" s="70">
        <v>5361</v>
      </c>
      <c r="X20" s="69">
        <v>846</v>
      </c>
      <c r="Y20" s="69">
        <v>170</v>
      </c>
      <c r="AF20" s="11"/>
      <c r="AG20" s="11"/>
    </row>
    <row r="21" spans="2:33" x14ac:dyDescent="0.2">
      <c r="B21" s="69" t="s">
        <v>151</v>
      </c>
      <c r="C21" s="70">
        <v>8824</v>
      </c>
      <c r="D21" s="70">
        <v>10873</v>
      </c>
      <c r="E21" s="70">
        <v>12301</v>
      </c>
      <c r="F21" s="70">
        <v>13725</v>
      </c>
      <c r="G21" s="70">
        <v>14544</v>
      </c>
      <c r="H21" s="70">
        <v>15212</v>
      </c>
      <c r="K21" s="69" t="s">
        <v>128</v>
      </c>
      <c r="L21" s="69">
        <v>45</v>
      </c>
      <c r="M21" s="69">
        <v>-882</v>
      </c>
      <c r="N21" s="69">
        <v>17</v>
      </c>
      <c r="O21" s="69">
        <v>22</v>
      </c>
      <c r="P21" s="69">
        <v>-688</v>
      </c>
      <c r="Q21" s="69">
        <v>33</v>
      </c>
      <c r="S21" s="69" t="s">
        <v>104</v>
      </c>
      <c r="T21" s="70">
        <v>4705</v>
      </c>
      <c r="U21" s="70">
        <v>-1665</v>
      </c>
      <c r="V21" s="70">
        <v>-3835</v>
      </c>
      <c r="W21" s="70">
        <v>2215</v>
      </c>
      <c r="X21" s="70">
        <v>-1314</v>
      </c>
      <c r="Y21" s="70">
        <v>-3229</v>
      </c>
    </row>
    <row r="22" spans="2:33" x14ac:dyDescent="0.2">
      <c r="B22" s="69" t="s">
        <v>152</v>
      </c>
      <c r="C22" s="70">
        <v>3925</v>
      </c>
      <c r="D22" s="70">
        <v>3943</v>
      </c>
      <c r="E22" s="70">
        <v>3968</v>
      </c>
      <c r="F22" s="70">
        <v>4130</v>
      </c>
      <c r="G22" s="70">
        <v>4346</v>
      </c>
      <c r="H22" s="70">
        <v>4628</v>
      </c>
      <c r="K22" s="69" t="s">
        <v>129</v>
      </c>
      <c r="L22" s="70">
        <v>32402</v>
      </c>
      <c r="M22" s="70">
        <v>33444</v>
      </c>
      <c r="N22" s="70">
        <v>38432</v>
      </c>
      <c r="O22" s="70">
        <v>42281</v>
      </c>
      <c r="P22" s="70">
        <v>46787</v>
      </c>
      <c r="Q22" s="70">
        <v>48764</v>
      </c>
      <c r="S22" s="67" t="s">
        <v>105</v>
      </c>
      <c r="T22" s="68">
        <v>-39915</v>
      </c>
      <c r="U22" s="68">
        <v>-32634</v>
      </c>
      <c r="V22" s="68">
        <v>-33581</v>
      </c>
      <c r="W22" s="68">
        <v>-47878</v>
      </c>
      <c r="X22" s="68">
        <v>-48536</v>
      </c>
      <c r="Y22" s="68">
        <v>-47438</v>
      </c>
    </row>
    <row r="23" spans="2:33" x14ac:dyDescent="0.2">
      <c r="B23" s="69" t="s">
        <v>153</v>
      </c>
      <c r="C23" s="69">
        <v>68</v>
      </c>
      <c r="D23" s="69">
        <v>86</v>
      </c>
      <c r="E23" s="69">
        <v>71</v>
      </c>
      <c r="F23" s="69">
        <v>93</v>
      </c>
      <c r="G23" s="69">
        <v>97</v>
      </c>
      <c r="H23" s="69">
        <v>106</v>
      </c>
      <c r="K23" s="69" t="s">
        <v>130</v>
      </c>
      <c r="L23" s="70">
        <v>32295</v>
      </c>
      <c r="M23" s="70">
        <v>33308</v>
      </c>
      <c r="N23" s="70">
        <v>38310</v>
      </c>
      <c r="O23" s="70">
        <v>42125</v>
      </c>
      <c r="P23" s="70">
        <v>46593</v>
      </c>
      <c r="Q23" s="70">
        <v>48520</v>
      </c>
      <c r="S23" s="69" t="s">
        <v>106</v>
      </c>
      <c r="T23" s="69">
        <v>0</v>
      </c>
      <c r="U23" s="69">
        <v>0</v>
      </c>
      <c r="V23" s="69">
        <v>0</v>
      </c>
      <c r="W23" s="69">
        <v>18</v>
      </c>
      <c r="X23" s="69">
        <v>425</v>
      </c>
      <c r="Y23" s="69">
        <v>0</v>
      </c>
    </row>
    <row r="24" spans="2:33" x14ac:dyDescent="0.2">
      <c r="B24" s="69" t="s">
        <v>2</v>
      </c>
      <c r="C24" s="70">
        <v>2158</v>
      </c>
      <c r="D24" s="70">
        <v>2538</v>
      </c>
      <c r="E24" s="70">
        <v>3484</v>
      </c>
      <c r="F24" s="70">
        <v>3750</v>
      </c>
      <c r="G24" s="70">
        <v>3836</v>
      </c>
      <c r="H24" s="70">
        <v>4865</v>
      </c>
      <c r="K24" s="69" t="s">
        <v>131</v>
      </c>
      <c r="L24" s="70">
        <v>32340</v>
      </c>
      <c r="M24" s="70">
        <v>32430</v>
      </c>
      <c r="N24" s="70">
        <v>38327</v>
      </c>
      <c r="O24" s="70">
        <v>42147</v>
      </c>
      <c r="P24" s="70">
        <v>45908</v>
      </c>
      <c r="Q24" s="70">
        <v>48553</v>
      </c>
      <c r="S24" s="69" t="s">
        <v>107</v>
      </c>
      <c r="T24" s="69">
        <v>0</v>
      </c>
      <c r="U24" s="69">
        <v>0</v>
      </c>
      <c r="V24" s="69">
        <v>0</v>
      </c>
      <c r="W24" s="69">
        <v>0</v>
      </c>
      <c r="X24" s="69">
        <v>0</v>
      </c>
      <c r="Y24" s="69">
        <v>0</v>
      </c>
    </row>
    <row r="25" spans="2:33" x14ac:dyDescent="0.2">
      <c r="B25" s="69" t="s">
        <v>154</v>
      </c>
      <c r="C25" s="69">
        <v>120</v>
      </c>
      <c r="D25" s="69">
        <v>122</v>
      </c>
      <c r="E25" s="69">
        <v>121</v>
      </c>
      <c r="F25" s="69">
        <v>126</v>
      </c>
      <c r="G25" s="69">
        <v>127</v>
      </c>
      <c r="H25" s="69">
        <v>129</v>
      </c>
      <c r="K25" s="69" t="s">
        <v>132</v>
      </c>
      <c r="L25" s="71">
        <v>0.03</v>
      </c>
      <c r="M25" s="71">
        <v>0.03</v>
      </c>
      <c r="N25" s="71">
        <v>0.15</v>
      </c>
      <c r="O25" s="71">
        <v>0.1</v>
      </c>
      <c r="P25" s="71">
        <v>0.11</v>
      </c>
      <c r="Q25" s="71">
        <v>0.04</v>
      </c>
      <c r="S25" s="69" t="s">
        <v>108</v>
      </c>
      <c r="T25" s="69">
        <v>0</v>
      </c>
      <c r="U25" s="69">
        <v>0</v>
      </c>
      <c r="V25" s="69">
        <v>0</v>
      </c>
      <c r="W25" s="69">
        <v>0</v>
      </c>
      <c r="X25" s="69">
        <v>0</v>
      </c>
      <c r="Y25" s="69">
        <v>0</v>
      </c>
    </row>
    <row r="26" spans="2:33" x14ac:dyDescent="0.2">
      <c r="B26" s="67" t="s">
        <v>155</v>
      </c>
      <c r="C26" s="68">
        <v>37984</v>
      </c>
      <c r="D26" s="68">
        <v>40451</v>
      </c>
      <c r="E26" s="68">
        <v>41541</v>
      </c>
      <c r="F26" s="68">
        <v>45414</v>
      </c>
      <c r="G26" s="68">
        <v>47418</v>
      </c>
      <c r="H26" s="68">
        <v>53366</v>
      </c>
      <c r="K26" s="69" t="s">
        <v>133</v>
      </c>
      <c r="L26" s="69">
        <v>86.19</v>
      </c>
      <c r="M26" s="69">
        <v>87.67</v>
      </c>
      <c r="N26" s="69">
        <v>104.75</v>
      </c>
      <c r="O26" s="69">
        <v>115.19</v>
      </c>
      <c r="P26" s="69">
        <v>126.88</v>
      </c>
      <c r="Q26" s="69">
        <v>134.19999999999999</v>
      </c>
      <c r="S26" s="69" t="s">
        <v>109</v>
      </c>
      <c r="T26" s="69">
        <v>-924</v>
      </c>
      <c r="U26" s="69">
        <v>-634</v>
      </c>
      <c r="V26" s="69">
        <v>-698</v>
      </c>
      <c r="W26" s="69">
        <v>-779</v>
      </c>
      <c r="X26" s="69">
        <v>-699</v>
      </c>
      <c r="Y26" s="69">
        <v>-840</v>
      </c>
    </row>
    <row r="27" spans="2:33" x14ac:dyDescent="0.2">
      <c r="B27" s="69" t="s">
        <v>156</v>
      </c>
      <c r="C27" s="70">
        <v>17056</v>
      </c>
      <c r="D27" s="70">
        <v>19430</v>
      </c>
      <c r="E27" s="70">
        <v>20243</v>
      </c>
      <c r="F27" s="70">
        <v>24899</v>
      </c>
      <c r="G27" s="70">
        <v>27814</v>
      </c>
      <c r="H27" s="70">
        <v>30313</v>
      </c>
      <c r="K27" s="69" t="s">
        <v>83</v>
      </c>
      <c r="L27" s="71">
        <v>0.85</v>
      </c>
      <c r="M27" s="71">
        <v>0.43</v>
      </c>
      <c r="N27" s="71">
        <v>0.41</v>
      </c>
      <c r="O27" s="71">
        <v>1</v>
      </c>
      <c r="P27" s="71">
        <v>0.57999999999999996</v>
      </c>
      <c r="Q27" s="71">
        <v>0.94</v>
      </c>
      <c r="S27" s="69" t="s">
        <v>110</v>
      </c>
      <c r="T27" s="70">
        <v>-37702</v>
      </c>
      <c r="U27" s="70">
        <v>-10907</v>
      </c>
      <c r="V27" s="70">
        <v>-13375</v>
      </c>
      <c r="W27" s="70">
        <v>-41410</v>
      </c>
      <c r="X27" s="70">
        <v>-25218</v>
      </c>
      <c r="Y27" s="70">
        <v>-44962</v>
      </c>
    </row>
    <row r="28" spans="2:33" x14ac:dyDescent="0.2">
      <c r="B28" s="69" t="s">
        <v>157</v>
      </c>
      <c r="C28" s="69">
        <v>906</v>
      </c>
      <c r="D28" s="69">
        <v>926</v>
      </c>
      <c r="E28" s="70">
        <v>1205</v>
      </c>
      <c r="F28" s="70">
        <v>1234</v>
      </c>
      <c r="G28" s="70">
        <v>1564</v>
      </c>
      <c r="H28" s="70">
        <v>1546</v>
      </c>
      <c r="S28" s="69" t="s">
        <v>111</v>
      </c>
      <c r="T28" s="70">
        <v>-1062</v>
      </c>
      <c r="U28" s="70">
        <v>-1336</v>
      </c>
      <c r="V28" s="70">
        <v>-1417</v>
      </c>
      <c r="W28" s="70">
        <v>-1515</v>
      </c>
      <c r="X28" s="70">
        <v>-1614</v>
      </c>
      <c r="Y28" s="70">
        <v>-1664</v>
      </c>
    </row>
    <row r="29" spans="2:33" x14ac:dyDescent="0.2">
      <c r="B29" s="69" t="s">
        <v>158</v>
      </c>
      <c r="C29" s="70">
        <v>26356</v>
      </c>
      <c r="D29" s="70">
        <v>29373</v>
      </c>
      <c r="E29" s="70">
        <v>30485</v>
      </c>
      <c r="F29" s="70">
        <v>37163</v>
      </c>
      <c r="G29" s="70">
        <v>31762</v>
      </c>
      <c r="H29" s="70">
        <v>30964</v>
      </c>
      <c r="S29" s="69" t="s">
        <v>112</v>
      </c>
      <c r="T29" s="69">
        <v>-227</v>
      </c>
      <c r="U29" s="70">
        <v>-19757</v>
      </c>
      <c r="V29" s="70">
        <v>-18091</v>
      </c>
      <c r="W29" s="70">
        <v>-4192</v>
      </c>
      <c r="X29" s="70">
        <v>-21430</v>
      </c>
      <c r="Y29" s="69">
        <v>28</v>
      </c>
    </row>
    <row r="30" spans="2:33" x14ac:dyDescent="0.2">
      <c r="B30" s="67" t="s">
        <v>159</v>
      </c>
      <c r="C30" s="68">
        <v>71937</v>
      </c>
      <c r="D30" s="68">
        <v>78672</v>
      </c>
      <c r="E30" s="68">
        <v>87936</v>
      </c>
      <c r="F30" s="68">
        <v>83947</v>
      </c>
      <c r="G30" s="68">
        <v>92542</v>
      </c>
      <c r="H30" s="68">
        <v>103086</v>
      </c>
      <c r="S30" s="67" t="s">
        <v>113</v>
      </c>
      <c r="T30" s="68">
        <v>1422</v>
      </c>
      <c r="U30" s="68">
        <v>-1788</v>
      </c>
      <c r="V30" s="68">
        <v>5630</v>
      </c>
      <c r="W30" s="68">
        <v>-5365</v>
      </c>
      <c r="X30" s="68">
        <v>1893</v>
      </c>
      <c r="Y30" s="67">
        <v>-674</v>
      </c>
    </row>
    <row r="31" spans="2:33" x14ac:dyDescent="0.2">
      <c r="B31" s="69" t="s">
        <v>3</v>
      </c>
      <c r="C31" s="69">
        <v>5</v>
      </c>
      <c r="D31" s="69">
        <v>8</v>
      </c>
      <c r="E31" s="69">
        <v>20</v>
      </c>
      <c r="F31" s="69">
        <v>28</v>
      </c>
      <c r="G31" s="69">
        <v>28</v>
      </c>
      <c r="H31" s="69">
        <v>21</v>
      </c>
      <c r="S31" s="69" t="s">
        <v>8</v>
      </c>
      <c r="T31" s="70">
        <v>29281</v>
      </c>
      <c r="U31" s="70">
        <v>35663</v>
      </c>
      <c r="V31" s="70">
        <v>36985</v>
      </c>
      <c r="W31" s="70">
        <v>38902</v>
      </c>
      <c r="X31" s="70">
        <v>41688</v>
      </c>
      <c r="Y31" s="70">
        <v>44994</v>
      </c>
    </row>
    <row r="32" spans="2:33" x14ac:dyDescent="0.2">
      <c r="B32" s="69" t="s">
        <v>160</v>
      </c>
      <c r="C32" s="70">
        <v>30532</v>
      </c>
      <c r="D32" s="70">
        <v>30079</v>
      </c>
      <c r="E32" s="70">
        <v>41810</v>
      </c>
      <c r="F32" s="70">
        <v>49954</v>
      </c>
      <c r="G32" s="70">
        <v>53577</v>
      </c>
      <c r="H32" s="70">
        <v>59046</v>
      </c>
      <c r="S32" s="69" t="s">
        <v>114</v>
      </c>
      <c r="T32" s="71">
        <v>0.91</v>
      </c>
      <c r="U32" s="71">
        <v>1.03</v>
      </c>
      <c r="V32" s="71">
        <v>0.97</v>
      </c>
      <c r="W32" s="71">
        <v>0.93</v>
      </c>
      <c r="X32" s="71">
        <v>0.88</v>
      </c>
      <c r="Y32" s="71">
        <v>0.96</v>
      </c>
    </row>
    <row r="33" spans="2:33" x14ac:dyDescent="0.2">
      <c r="B33" s="69" t="s">
        <v>161</v>
      </c>
      <c r="C33" s="70">
        <v>9666</v>
      </c>
      <c r="D33" s="70">
        <v>9329</v>
      </c>
      <c r="E33" s="70">
        <v>18221</v>
      </c>
      <c r="F33" s="70">
        <v>11032</v>
      </c>
      <c r="G33" s="70">
        <v>13286</v>
      </c>
      <c r="H33" s="70">
        <v>15463</v>
      </c>
    </row>
    <row r="34" spans="2:33" x14ac:dyDescent="0.2">
      <c r="B34" s="69" t="s">
        <v>162</v>
      </c>
      <c r="C34" s="70">
        <v>1967</v>
      </c>
      <c r="D34" s="70">
        <v>5107</v>
      </c>
      <c r="E34" s="70">
        <v>3600</v>
      </c>
      <c r="F34" s="70">
        <v>2097</v>
      </c>
      <c r="G34" s="70">
        <v>3989</v>
      </c>
      <c r="H34" s="70">
        <v>4612</v>
      </c>
    </row>
    <row r="35" spans="2:33" x14ac:dyDescent="0.2">
      <c r="B35" s="69" t="s">
        <v>163</v>
      </c>
      <c r="C35" s="70">
        <v>29767</v>
      </c>
      <c r="D35" s="70">
        <v>34149</v>
      </c>
      <c r="E35" s="70">
        <v>24285</v>
      </c>
      <c r="F35" s="70">
        <v>20836</v>
      </c>
      <c r="G35" s="70">
        <v>21662</v>
      </c>
      <c r="H35" s="70">
        <v>23944</v>
      </c>
    </row>
    <row r="36" spans="2:33" x14ac:dyDescent="0.2">
      <c r="B36" s="67" t="s">
        <v>164</v>
      </c>
      <c r="C36" s="68">
        <v>120127</v>
      </c>
      <c r="D36" s="68">
        <v>129992</v>
      </c>
      <c r="E36" s="68">
        <v>140924</v>
      </c>
      <c r="F36" s="68">
        <v>142859</v>
      </c>
      <c r="G36" s="68">
        <v>145472</v>
      </c>
      <c r="H36" s="68">
        <v>158649</v>
      </c>
      <c r="S36" s="12"/>
      <c r="T36" s="14"/>
      <c r="U36" s="14"/>
      <c r="V36" s="14"/>
      <c r="W36" s="14"/>
      <c r="X36" s="14"/>
    </row>
    <row r="37" spans="2:33" x14ac:dyDescent="0.2">
      <c r="B37" s="2"/>
      <c r="S37" s="12"/>
      <c r="T37" s="14"/>
      <c r="U37" s="14"/>
      <c r="V37" s="14"/>
      <c r="W37" s="14"/>
      <c r="X37" s="14"/>
      <c r="Z37" s="6"/>
      <c r="AA37" s="6"/>
      <c r="AB37" s="6"/>
      <c r="AC37" s="11"/>
      <c r="AD37" s="11"/>
      <c r="AE37" s="11"/>
      <c r="AF37" s="11"/>
      <c r="AG37" s="11"/>
    </row>
    <row r="38" spans="2:33" x14ac:dyDescent="0.2">
      <c r="B38" s="2"/>
      <c r="S38" s="12"/>
      <c r="T38" s="12"/>
      <c r="U38" s="12"/>
      <c r="V38" s="12"/>
      <c r="W38" s="12"/>
      <c r="X38" s="12"/>
    </row>
    <row r="39" spans="2:33" x14ac:dyDescent="0.2">
      <c r="B39" s="3"/>
      <c r="S39" s="12"/>
      <c r="T39" s="12"/>
      <c r="U39" s="12"/>
      <c r="V39" s="12"/>
      <c r="W39" s="12"/>
      <c r="X39" s="12"/>
    </row>
    <row r="40" spans="2:33" x14ac:dyDescent="0.2">
      <c r="B40" s="3"/>
      <c r="C40" s="3"/>
      <c r="D40" s="3"/>
      <c r="E40" s="3"/>
      <c r="F40" s="3"/>
      <c r="G40" s="3"/>
      <c r="S40" s="12"/>
      <c r="T40" s="12"/>
      <c r="U40" s="12"/>
      <c r="V40" s="12"/>
      <c r="W40" s="12"/>
      <c r="X40" s="12"/>
    </row>
    <row r="41" spans="2:33" x14ac:dyDescent="0.2">
      <c r="B41" s="3"/>
      <c r="C41" s="4"/>
      <c r="D41" s="4"/>
      <c r="E41" s="4"/>
      <c r="F41" s="4"/>
      <c r="G41" s="4"/>
      <c r="S41" s="12"/>
      <c r="T41" s="13"/>
      <c r="U41" s="13"/>
      <c r="V41" s="13"/>
      <c r="W41" s="13"/>
      <c r="X41" s="13"/>
    </row>
    <row r="42" spans="2:33" x14ac:dyDescent="0.2">
      <c r="B42" s="3"/>
      <c r="C42" s="4"/>
      <c r="D42" s="4"/>
      <c r="E42" s="4"/>
      <c r="F42" s="4"/>
      <c r="G42" s="4"/>
      <c r="S42" s="12"/>
      <c r="T42" s="13"/>
      <c r="U42" s="13"/>
      <c r="V42" s="13"/>
      <c r="W42" s="13"/>
      <c r="X42" s="13"/>
    </row>
    <row r="43" spans="2:33" x14ac:dyDescent="0.2">
      <c r="B43" s="3"/>
      <c r="C43" s="4"/>
      <c r="D43" s="4"/>
      <c r="E43" s="3"/>
      <c r="F43" s="3"/>
      <c r="G43" s="3"/>
      <c r="S43" s="12"/>
      <c r="T43" s="13"/>
      <c r="U43" s="13"/>
      <c r="V43" s="13"/>
      <c r="W43" s="13"/>
      <c r="X43" s="13"/>
    </row>
    <row r="44" spans="2:33" x14ac:dyDescent="0.2">
      <c r="B44" s="3"/>
      <c r="C44" s="4"/>
      <c r="D44" s="4"/>
      <c r="E44" s="4"/>
      <c r="F44" s="4"/>
      <c r="G44" s="4"/>
      <c r="J44" s="2"/>
      <c r="K44" s="7"/>
      <c r="L44" s="7"/>
      <c r="M44" s="7"/>
      <c r="N44" s="7"/>
      <c r="O44" s="7"/>
      <c r="S44" s="12"/>
      <c r="T44" s="13"/>
      <c r="U44" s="13"/>
      <c r="V44" s="13"/>
      <c r="W44" s="13"/>
      <c r="X44" s="13"/>
    </row>
    <row r="45" spans="2:33" x14ac:dyDescent="0.2">
      <c r="B45" s="2"/>
      <c r="C45" s="5"/>
      <c r="D45" s="5"/>
      <c r="E45" s="5"/>
      <c r="F45" s="5"/>
      <c r="G45" s="5"/>
      <c r="X45" s="13"/>
    </row>
    <row r="46" spans="2:33" x14ac:dyDescent="0.2">
      <c r="B46" s="2"/>
      <c r="C46" s="5"/>
      <c r="D46" s="5"/>
      <c r="E46" s="5"/>
      <c r="F46" s="5"/>
      <c r="G46" s="5"/>
      <c r="Q46" s="68"/>
      <c r="X46" s="12"/>
    </row>
    <row r="47" spans="2:33" x14ac:dyDescent="0.2">
      <c r="B47" s="2"/>
      <c r="C47" s="2"/>
      <c r="D47" s="2"/>
      <c r="E47" s="2"/>
      <c r="F47" s="2"/>
      <c r="G47" s="2"/>
      <c r="Q47" s="69"/>
      <c r="X47" s="12"/>
    </row>
    <row r="48" spans="2:33" x14ac:dyDescent="0.2">
      <c r="B48" s="2"/>
      <c r="C48" s="2"/>
      <c r="D48" s="2"/>
      <c r="E48" s="2"/>
      <c r="F48" s="2"/>
      <c r="G48" s="2"/>
      <c r="Q48" s="68"/>
      <c r="X48" s="13"/>
    </row>
    <row r="49" spans="2:24" x14ac:dyDescent="0.2">
      <c r="B49" s="3"/>
      <c r="C49" s="4"/>
      <c r="D49" s="4"/>
      <c r="E49" s="4"/>
      <c r="F49" s="4"/>
      <c r="G49" s="4"/>
      <c r="Q49" s="69"/>
      <c r="X49" s="13"/>
    </row>
    <row r="50" spans="2:24" x14ac:dyDescent="0.2">
      <c r="B50" s="2"/>
      <c r="C50" s="2"/>
      <c r="D50" s="2"/>
      <c r="E50" s="2"/>
      <c r="F50" s="2"/>
      <c r="G50" s="2"/>
      <c r="Q50" s="69"/>
      <c r="X50" s="13"/>
    </row>
    <row r="51" spans="2:24" x14ac:dyDescent="0.2">
      <c r="B51" s="3"/>
      <c r="C51" s="3"/>
      <c r="D51" s="3"/>
      <c r="E51" s="3"/>
      <c r="F51" s="3"/>
      <c r="G51" s="3"/>
      <c r="Q51" s="69"/>
      <c r="X51" s="14"/>
    </row>
    <row r="52" spans="2:24" x14ac:dyDescent="0.2">
      <c r="B52" s="3"/>
      <c r="C52" s="3"/>
      <c r="D52" s="3"/>
      <c r="E52" s="3"/>
      <c r="F52" s="3"/>
      <c r="G52" s="3"/>
      <c r="Q52" s="69"/>
      <c r="X52" s="14"/>
    </row>
    <row r="53" spans="2:24" x14ac:dyDescent="0.2">
      <c r="B53" s="3"/>
      <c r="C53" s="3"/>
      <c r="D53" s="3"/>
      <c r="E53" s="3"/>
      <c r="F53" s="3"/>
      <c r="G53" s="3"/>
      <c r="Q53" s="68"/>
      <c r="X53" s="14"/>
    </row>
    <row r="54" spans="2:24" x14ac:dyDescent="0.2">
      <c r="B54" s="3"/>
      <c r="C54" s="3"/>
      <c r="D54" s="3"/>
      <c r="E54" s="3"/>
      <c r="F54" s="3"/>
      <c r="G54" s="3"/>
      <c r="Q54" s="71"/>
      <c r="X54" s="14"/>
    </row>
    <row r="55" spans="2:24" x14ac:dyDescent="0.2">
      <c r="B55" s="2"/>
      <c r="C55" s="2"/>
      <c r="D55" s="2"/>
      <c r="E55" s="2"/>
      <c r="F55" s="2"/>
      <c r="G55" s="2"/>
      <c r="Q55" s="67"/>
    </row>
    <row r="56" spans="2:24" x14ac:dyDescent="0.2">
      <c r="B56" s="3"/>
      <c r="C56" s="4"/>
      <c r="D56" s="4"/>
      <c r="E56" s="4"/>
      <c r="F56" s="4"/>
      <c r="G56" s="4"/>
      <c r="Q56" s="69"/>
      <c r="X56" s="12"/>
    </row>
    <row r="57" spans="2:24" x14ac:dyDescent="0.2">
      <c r="B57" s="2"/>
      <c r="C57" s="2"/>
      <c r="D57" s="2"/>
      <c r="E57" s="2"/>
      <c r="F57" s="2"/>
      <c r="G57" s="2"/>
      <c r="Q57" s="69"/>
      <c r="X57" s="13"/>
    </row>
    <row r="58" spans="2:24" x14ac:dyDescent="0.2">
      <c r="B58" s="3"/>
      <c r="C58" s="3"/>
      <c r="D58" s="3"/>
      <c r="E58" s="3"/>
      <c r="F58" s="3"/>
      <c r="G58" s="3"/>
      <c r="Q58" s="70"/>
      <c r="X58" s="13"/>
    </row>
    <row r="59" spans="2:24" x14ac:dyDescent="0.2">
      <c r="B59" s="2"/>
      <c r="C59" s="2"/>
      <c r="D59" s="2"/>
      <c r="E59" s="2"/>
      <c r="F59" s="2"/>
      <c r="G59" s="2"/>
      <c r="Q59" s="70"/>
      <c r="X59" s="13"/>
    </row>
    <row r="60" spans="2:24" x14ac:dyDescent="0.2">
      <c r="B60" s="3"/>
      <c r="C60" s="3"/>
      <c r="D60" s="3"/>
      <c r="E60" s="3"/>
      <c r="F60" s="3"/>
      <c r="G60" s="3"/>
      <c r="Q60" s="68"/>
      <c r="X60" s="13"/>
    </row>
    <row r="61" spans="2:24" x14ac:dyDescent="0.2">
      <c r="B61" s="3"/>
      <c r="C61" s="4"/>
      <c r="D61" s="4"/>
      <c r="E61" s="4"/>
      <c r="F61" s="4"/>
      <c r="G61" s="4"/>
      <c r="Q61" s="69"/>
      <c r="X61" s="12"/>
    </row>
    <row r="62" spans="2:24" x14ac:dyDescent="0.2">
      <c r="B62" s="2"/>
      <c r="C62" s="2"/>
      <c r="D62" s="2"/>
      <c r="E62" s="2"/>
      <c r="F62" s="2"/>
      <c r="G62" s="2"/>
      <c r="Q62" s="68"/>
      <c r="X62" s="12"/>
    </row>
    <row r="63" spans="2:24" x14ac:dyDescent="0.2">
      <c r="B63" s="3"/>
      <c r="C63" s="3"/>
      <c r="D63" s="3"/>
      <c r="E63" s="3"/>
      <c r="F63" s="3"/>
      <c r="G63" s="3"/>
      <c r="Q63" s="69"/>
      <c r="X63" s="12"/>
    </row>
    <row r="64" spans="2:24" x14ac:dyDescent="0.2">
      <c r="B64" s="2"/>
      <c r="C64" s="2"/>
      <c r="D64" s="2"/>
      <c r="E64" s="2"/>
      <c r="F64" s="2"/>
      <c r="G64" s="2"/>
      <c r="Q64" s="69"/>
      <c r="X64" s="12"/>
    </row>
    <row r="65" spans="2:24" x14ac:dyDescent="0.2">
      <c r="B65" s="3"/>
      <c r="C65" s="3"/>
      <c r="D65" s="3"/>
      <c r="E65" s="3"/>
      <c r="F65" s="3"/>
      <c r="G65" s="3"/>
      <c r="Q65" s="69"/>
      <c r="X65" s="12"/>
    </row>
    <row r="66" spans="2:24" x14ac:dyDescent="0.2">
      <c r="B66" s="3"/>
      <c r="C66" s="4"/>
      <c r="D66" s="4"/>
      <c r="E66" s="4"/>
      <c r="F66" s="4"/>
      <c r="G66" s="4"/>
      <c r="Q66" s="69"/>
      <c r="X66" s="12"/>
    </row>
    <row r="67" spans="2:24" x14ac:dyDescent="0.2">
      <c r="B67" s="2"/>
      <c r="C67" s="2"/>
      <c r="D67" s="2"/>
      <c r="E67" s="2"/>
      <c r="F67" s="2"/>
      <c r="G67" s="2"/>
      <c r="Q67" s="69"/>
      <c r="X67" s="12"/>
    </row>
    <row r="68" spans="2:24" x14ac:dyDescent="0.2">
      <c r="B68" s="3"/>
      <c r="C68" s="4"/>
      <c r="D68" s="4"/>
      <c r="E68" s="4"/>
      <c r="F68" s="4"/>
      <c r="G68" s="4"/>
      <c r="Q68" s="69"/>
      <c r="X68" s="12"/>
    </row>
    <row r="69" spans="2:24" x14ac:dyDescent="0.2">
      <c r="B69" s="3"/>
      <c r="C69" s="3"/>
      <c r="D69" s="3"/>
      <c r="E69" s="3"/>
      <c r="G69" s="3"/>
      <c r="Q69" s="69"/>
      <c r="X69" s="12"/>
    </row>
    <row r="70" spans="2:24" x14ac:dyDescent="0.2">
      <c r="G70" s="3"/>
      <c r="X70" s="13"/>
    </row>
    <row r="71" spans="2:24" x14ac:dyDescent="0.2">
      <c r="S71" s="12"/>
      <c r="T71" s="13"/>
      <c r="U71" s="13"/>
      <c r="V71" s="13"/>
      <c r="W71" s="13"/>
      <c r="X71" s="13"/>
    </row>
    <row r="72" spans="2:24" x14ac:dyDescent="0.2">
      <c r="K72" s="8"/>
      <c r="L72" s="8"/>
      <c r="M72" s="8"/>
      <c r="N72" s="8"/>
      <c r="O72" s="8"/>
      <c r="S72" s="12"/>
      <c r="T72" s="12"/>
      <c r="U72" s="14"/>
      <c r="V72" s="14"/>
      <c r="W72" s="14"/>
      <c r="X72" s="14"/>
    </row>
    <row r="73" spans="2:24" x14ac:dyDescent="0.2">
      <c r="S73" s="12"/>
      <c r="T73" s="12"/>
      <c r="U73" s="14"/>
      <c r="V73" s="14"/>
      <c r="W73" s="14"/>
      <c r="X73" s="14"/>
    </row>
    <row r="74" spans="2:24" x14ac:dyDescent="0.2">
      <c r="K74" s="1"/>
      <c r="L74" s="1"/>
      <c r="M74" s="1"/>
      <c r="N74" s="1"/>
      <c r="O74" s="1"/>
      <c r="S74" s="12"/>
      <c r="T74" s="14"/>
      <c r="U74" s="14"/>
      <c r="V74" s="14"/>
      <c r="W74" s="14"/>
      <c r="X74" s="14"/>
    </row>
    <row r="75" spans="2:24" x14ac:dyDescent="0.2">
      <c r="S75" s="12"/>
      <c r="T75" s="14"/>
      <c r="U75" s="14"/>
      <c r="V75" s="14"/>
      <c r="W75" s="14"/>
      <c r="X75" s="14"/>
    </row>
    <row r="76" spans="2:24" x14ac:dyDescent="0.2">
      <c r="K76" s="1"/>
      <c r="L76" s="1"/>
      <c r="M76" s="1"/>
      <c r="N76" s="1"/>
      <c r="O76" s="1"/>
      <c r="S76" s="12"/>
      <c r="T76" s="13"/>
      <c r="U76" s="13"/>
      <c r="V76" s="13"/>
      <c r="W76" s="12"/>
      <c r="X76" s="13"/>
    </row>
    <row r="77" spans="2:24" x14ac:dyDescent="0.2">
      <c r="S77" s="12"/>
      <c r="T77" s="13"/>
      <c r="U77" s="13"/>
      <c r="V77" s="13"/>
      <c r="W77" s="13"/>
      <c r="X77" s="13"/>
    </row>
    <row r="78" spans="2:24" x14ac:dyDescent="0.2">
      <c r="S78" s="12"/>
      <c r="T78" s="13"/>
      <c r="U78" s="13"/>
      <c r="V78" s="13"/>
      <c r="W78" s="13"/>
      <c r="X78" s="13"/>
    </row>
    <row r="79" spans="2:24" x14ac:dyDescent="0.2">
      <c r="S79" s="12"/>
      <c r="T79" s="13"/>
      <c r="U79" s="13"/>
      <c r="V79" s="13"/>
      <c r="W79" s="13"/>
      <c r="X79" s="13"/>
    </row>
    <row r="80" spans="2:24" x14ac:dyDescent="0.2">
      <c r="K80" s="8"/>
      <c r="L80" s="8"/>
      <c r="M80" s="8"/>
      <c r="S80" s="12"/>
      <c r="T80" s="12"/>
      <c r="U80" s="14"/>
      <c r="V80" s="14"/>
      <c r="W80" s="14"/>
      <c r="X80" s="14"/>
    </row>
    <row r="81" spans="11:24" x14ac:dyDescent="0.2">
      <c r="S81" s="12"/>
      <c r="T81" s="12"/>
      <c r="U81" s="12"/>
      <c r="V81" s="12"/>
      <c r="W81" s="12"/>
      <c r="X81" s="14"/>
    </row>
    <row r="82" spans="11:24" x14ac:dyDescent="0.2">
      <c r="K82" s="7"/>
      <c r="L82" s="7"/>
      <c r="M82" s="7"/>
      <c r="N82" s="7"/>
      <c r="O82" s="7"/>
    </row>
    <row r="84" spans="11:24" x14ac:dyDescent="0.2">
      <c r="K84" s="8"/>
      <c r="L84" s="8"/>
      <c r="M84" s="8"/>
      <c r="N84" s="8"/>
      <c r="O84" s="8"/>
    </row>
    <row r="86" spans="11:24" x14ac:dyDescent="0.2">
      <c r="K86" s="8"/>
      <c r="L86" s="8"/>
      <c r="M86" s="8"/>
      <c r="N86" s="8"/>
      <c r="O86" s="8"/>
    </row>
    <row r="88" spans="11:24" x14ac:dyDescent="0.2">
      <c r="K88" s="7"/>
      <c r="L88" s="7"/>
      <c r="M88" s="7"/>
      <c r="N88" s="7"/>
      <c r="O88" s="7"/>
    </row>
    <row r="104" spans="16:17" x14ac:dyDescent="0.2">
      <c r="P104" s="36"/>
      <c r="Q104" s="36"/>
    </row>
    <row r="105" spans="16:17" x14ac:dyDescent="0.2">
      <c r="P105" s="36"/>
      <c r="Q105" s="36"/>
    </row>
    <row r="106" spans="16:17" x14ac:dyDescent="0.2">
      <c r="P106" s="36"/>
      <c r="Q106" s="36"/>
    </row>
    <row r="107" spans="16:17" x14ac:dyDescent="0.2">
      <c r="P107" s="36"/>
      <c r="Q107" s="36"/>
    </row>
    <row r="108" spans="16:17" x14ac:dyDescent="0.2">
      <c r="P108" s="36"/>
      <c r="Q108" s="36"/>
    </row>
    <row r="109" spans="16:17" x14ac:dyDescent="0.2">
      <c r="P109" s="36"/>
      <c r="Q109" s="36"/>
    </row>
    <row r="110" spans="16:17" x14ac:dyDescent="0.2">
      <c r="P110" s="36"/>
      <c r="Q110" s="36"/>
    </row>
    <row r="111" spans="16:17" x14ac:dyDescent="0.2">
      <c r="P111" s="36"/>
      <c r="Q111" s="36"/>
    </row>
    <row r="112" spans="16:17" x14ac:dyDescent="0.2">
      <c r="P112" s="36"/>
      <c r="Q112" s="36"/>
    </row>
    <row r="113" spans="16:17" x14ac:dyDescent="0.2">
      <c r="P113" s="36"/>
      <c r="Q113" s="36"/>
    </row>
    <row r="114" spans="16:17" x14ac:dyDescent="0.2">
      <c r="P114" s="36"/>
      <c r="Q114" s="36"/>
    </row>
    <row r="115" spans="16:17" x14ac:dyDescent="0.2">
      <c r="P115" s="36"/>
      <c r="Q115" s="36"/>
    </row>
  </sheetData>
  <mergeCells count="1">
    <mergeCell ref="AA5:AJ5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2018-8776-CF4A-BAD8-61874FC1201D}">
  <dimension ref="B2:AU45"/>
  <sheetViews>
    <sheetView zoomScale="75" workbookViewId="0">
      <selection activeCell="C21" sqref="C21"/>
    </sheetView>
  </sheetViews>
  <sheetFormatPr baseColWidth="10" defaultRowHeight="16" x14ac:dyDescent="0.2"/>
  <cols>
    <col min="2" max="2" width="75.5" bestFit="1" customWidth="1"/>
    <col min="3" max="7" width="13.1640625" bestFit="1" customWidth="1"/>
    <col min="9" max="9" width="57.1640625" bestFit="1" customWidth="1"/>
    <col min="10" max="14" width="12" bestFit="1" customWidth="1"/>
    <col min="17" max="17" width="57.6640625" bestFit="1" customWidth="1"/>
    <col min="18" max="21" width="12.1640625" bestFit="1" customWidth="1"/>
    <col min="22" max="22" width="11.1640625" bestFit="1" customWidth="1"/>
    <col min="25" max="25" width="41.6640625" bestFit="1" customWidth="1"/>
    <col min="26" max="30" width="12" bestFit="1" customWidth="1"/>
    <col min="33" max="33" width="49.6640625" bestFit="1" customWidth="1"/>
    <col min="34" max="37" width="12.33203125" bestFit="1" customWidth="1"/>
    <col min="38" max="38" width="11" bestFit="1" customWidth="1"/>
    <col min="41" max="41" width="62.1640625" bestFit="1" customWidth="1"/>
    <col min="42" max="46" width="12.33203125" bestFit="1" customWidth="1"/>
  </cols>
  <sheetData>
    <row r="2" spans="2:47" ht="19" x14ac:dyDescent="0.25">
      <c r="B2" s="85" t="s">
        <v>256</v>
      </c>
      <c r="C2" s="90">
        <v>45717</v>
      </c>
      <c r="D2" s="90">
        <v>45352</v>
      </c>
      <c r="E2" s="90">
        <v>44986</v>
      </c>
      <c r="F2" s="90">
        <v>44621</v>
      </c>
      <c r="G2" s="90">
        <v>44256</v>
      </c>
      <c r="H2" s="85"/>
      <c r="I2" s="85" t="s">
        <v>255</v>
      </c>
      <c r="J2" s="91">
        <v>45717</v>
      </c>
      <c r="K2" s="91">
        <v>45352</v>
      </c>
      <c r="L2" s="91">
        <v>44986</v>
      </c>
      <c r="M2" s="91">
        <v>44621</v>
      </c>
      <c r="N2" s="91">
        <v>44256</v>
      </c>
      <c r="O2" s="85"/>
      <c r="Q2" s="85" t="s">
        <v>257</v>
      </c>
      <c r="R2" s="91">
        <v>45717</v>
      </c>
      <c r="S2" s="91">
        <v>45352</v>
      </c>
      <c r="T2" s="91">
        <v>44986</v>
      </c>
      <c r="U2" s="91">
        <v>44621</v>
      </c>
      <c r="V2" s="91">
        <v>44256</v>
      </c>
      <c r="W2" s="87"/>
      <c r="Y2" s="15" t="s">
        <v>210</v>
      </c>
      <c r="Z2" s="91">
        <v>45717</v>
      </c>
      <c r="AA2" s="91">
        <v>45352</v>
      </c>
      <c r="AB2" s="91">
        <v>44986</v>
      </c>
      <c r="AC2" s="91">
        <v>44621</v>
      </c>
      <c r="AD2" s="91">
        <v>44256</v>
      </c>
      <c r="AG2" s="87" t="s">
        <v>276</v>
      </c>
      <c r="AH2" s="91">
        <v>45717</v>
      </c>
      <c r="AI2" s="91">
        <v>45352</v>
      </c>
      <c r="AJ2" s="91">
        <v>44986</v>
      </c>
      <c r="AK2" s="91">
        <v>44621</v>
      </c>
      <c r="AL2" s="91">
        <v>44256</v>
      </c>
      <c r="AM2" s="2"/>
      <c r="AO2" s="87" t="s">
        <v>283</v>
      </c>
      <c r="AP2" s="91">
        <v>45717</v>
      </c>
      <c r="AQ2" s="91">
        <v>45352</v>
      </c>
      <c r="AR2" s="91">
        <v>44986</v>
      </c>
      <c r="AS2" s="91">
        <v>44621</v>
      </c>
      <c r="AT2" s="91">
        <v>44256</v>
      </c>
      <c r="AU2" s="87"/>
    </row>
    <row r="3" spans="2:47" ht="18" x14ac:dyDescent="0.2">
      <c r="B3" s="87" t="s">
        <v>198</v>
      </c>
      <c r="C3" s="87"/>
      <c r="D3" s="87"/>
      <c r="E3" s="87"/>
      <c r="F3" s="87"/>
      <c r="G3" s="87"/>
      <c r="H3" s="85"/>
      <c r="I3" s="87" t="s">
        <v>198</v>
      </c>
      <c r="J3" s="87"/>
      <c r="K3" s="87"/>
      <c r="L3" s="87"/>
      <c r="M3" s="87"/>
      <c r="N3" s="87"/>
      <c r="O3" s="85"/>
      <c r="Q3" s="87" t="s">
        <v>198</v>
      </c>
      <c r="R3" s="87"/>
      <c r="S3" s="87"/>
      <c r="T3" s="87"/>
      <c r="U3" s="87"/>
      <c r="V3" s="87"/>
      <c r="W3" s="87"/>
      <c r="Y3" s="87" t="s">
        <v>198</v>
      </c>
      <c r="Z3" s="87"/>
      <c r="AA3" s="87"/>
      <c r="AB3" s="87"/>
      <c r="AC3" s="87"/>
      <c r="AD3" s="87"/>
      <c r="AG3" s="87" t="s">
        <v>198</v>
      </c>
      <c r="AH3" s="87"/>
      <c r="AI3" s="87"/>
      <c r="AJ3" s="87"/>
      <c r="AK3" s="87"/>
      <c r="AL3" s="87"/>
      <c r="AM3" s="2"/>
      <c r="AO3" s="87" t="s">
        <v>198</v>
      </c>
      <c r="AP3" s="87"/>
      <c r="AQ3" s="87"/>
      <c r="AR3" s="87"/>
      <c r="AS3" s="87"/>
      <c r="AT3" s="87"/>
      <c r="AU3" s="87"/>
    </row>
    <row r="4" spans="2:47" ht="18" x14ac:dyDescent="0.2">
      <c r="B4" s="88" t="s">
        <v>199</v>
      </c>
      <c r="C4" s="88">
        <v>132.83000000000001</v>
      </c>
      <c r="D4" s="88">
        <v>119.44</v>
      </c>
      <c r="E4" s="88">
        <v>106.88</v>
      </c>
      <c r="F4" s="88">
        <v>103.24</v>
      </c>
      <c r="G4" s="88">
        <v>82.78</v>
      </c>
      <c r="H4" s="86"/>
      <c r="I4" s="88" t="s">
        <v>199</v>
      </c>
      <c r="J4" s="88">
        <v>61.58</v>
      </c>
      <c r="K4" s="88">
        <v>65.62</v>
      </c>
      <c r="L4" s="88">
        <v>55.48</v>
      </c>
      <c r="M4" s="88">
        <v>50.27</v>
      </c>
      <c r="N4" s="88">
        <v>42.37</v>
      </c>
      <c r="O4" s="86"/>
      <c r="Q4" s="88" t="s">
        <v>199</v>
      </c>
      <c r="R4" s="88">
        <v>35.78</v>
      </c>
      <c r="S4" s="88">
        <v>21.75</v>
      </c>
      <c r="T4" s="88">
        <v>38.69</v>
      </c>
      <c r="U4" s="88">
        <v>50.48</v>
      </c>
      <c r="V4" s="88">
        <v>43.76</v>
      </c>
      <c r="W4" s="88"/>
      <c r="Y4" s="88" t="s">
        <v>199</v>
      </c>
      <c r="Z4" s="88">
        <v>10.32</v>
      </c>
      <c r="AA4" s="88">
        <v>17.239999999999998</v>
      </c>
      <c r="AB4" s="88">
        <v>16.75</v>
      </c>
      <c r="AC4" s="88">
        <v>22.2</v>
      </c>
      <c r="AD4" s="88">
        <v>17.809999999999999</v>
      </c>
      <c r="AG4" s="88" t="s">
        <v>199</v>
      </c>
      <c r="AH4" s="88">
        <v>155.29</v>
      </c>
      <c r="AI4" s="88">
        <v>154.85</v>
      </c>
      <c r="AJ4" s="88">
        <v>149.07</v>
      </c>
      <c r="AK4" s="88">
        <v>131.19</v>
      </c>
      <c r="AL4" s="88">
        <v>110.98</v>
      </c>
      <c r="AM4" s="3"/>
      <c r="AO4" s="88" t="s">
        <v>199</v>
      </c>
      <c r="AP4" s="88">
        <v>64.16</v>
      </c>
      <c r="AQ4" s="88">
        <v>57.99</v>
      </c>
      <c r="AR4" s="88">
        <v>54.85</v>
      </c>
      <c r="AS4" s="88">
        <v>49.77</v>
      </c>
      <c r="AT4" s="88">
        <v>41.07</v>
      </c>
      <c r="AU4" s="88"/>
    </row>
    <row r="5" spans="2:47" ht="18" x14ac:dyDescent="0.2">
      <c r="B5" s="88" t="s">
        <v>200</v>
      </c>
      <c r="C5" s="88">
        <v>132.83000000000001</v>
      </c>
      <c r="D5" s="88">
        <v>119.44</v>
      </c>
      <c r="E5" s="88">
        <v>106.88</v>
      </c>
      <c r="F5" s="88">
        <v>103.24</v>
      </c>
      <c r="G5" s="88">
        <v>82.78</v>
      </c>
      <c r="H5" s="86"/>
      <c r="I5" s="88" t="s">
        <v>200</v>
      </c>
      <c r="J5" s="88">
        <v>61.46</v>
      </c>
      <c r="K5" s="88">
        <v>65.56</v>
      </c>
      <c r="L5" s="88">
        <v>55.42</v>
      </c>
      <c r="M5" s="88">
        <v>50.21</v>
      </c>
      <c r="N5" s="88">
        <v>42.33</v>
      </c>
      <c r="O5" s="86"/>
      <c r="Q5" s="88" t="s">
        <v>200</v>
      </c>
      <c r="R5" s="88">
        <v>35.71</v>
      </c>
      <c r="S5" s="88">
        <v>21.69</v>
      </c>
      <c r="T5" s="88">
        <v>38.54</v>
      </c>
      <c r="U5" s="88">
        <v>50.11</v>
      </c>
      <c r="V5" s="88">
        <v>43.41</v>
      </c>
      <c r="W5" s="88"/>
      <c r="Y5" s="88" t="s">
        <v>200</v>
      </c>
      <c r="Z5" s="88">
        <v>10.29</v>
      </c>
      <c r="AA5" s="88">
        <v>17.190000000000001</v>
      </c>
      <c r="AB5" s="88">
        <v>16.75</v>
      </c>
      <c r="AC5" s="88">
        <v>22.14</v>
      </c>
      <c r="AD5" s="88">
        <v>17.77</v>
      </c>
      <c r="AG5" s="88" t="s">
        <v>200</v>
      </c>
      <c r="AH5" s="88">
        <v>155</v>
      </c>
      <c r="AI5" s="88">
        <v>154.85</v>
      </c>
      <c r="AJ5" s="88">
        <v>148.83000000000001</v>
      </c>
      <c r="AK5" s="88">
        <v>130.81</v>
      </c>
      <c r="AL5" s="88">
        <v>110.26</v>
      </c>
      <c r="AM5" s="3"/>
      <c r="AO5" s="88" t="s">
        <v>200</v>
      </c>
      <c r="AP5" s="88">
        <v>64.09</v>
      </c>
      <c r="AQ5" s="88">
        <v>57.86</v>
      </c>
      <c r="AR5" s="88">
        <v>54.79</v>
      </c>
      <c r="AS5" s="88">
        <v>49.77</v>
      </c>
      <c r="AT5" s="88">
        <v>41.07</v>
      </c>
      <c r="AU5" s="88"/>
    </row>
    <row r="6" spans="2:47" ht="18" x14ac:dyDescent="0.2">
      <c r="B6" s="88" t="s">
        <v>201</v>
      </c>
      <c r="C6" s="88">
        <v>144.41</v>
      </c>
      <c r="D6" s="88">
        <v>131.07</v>
      </c>
      <c r="E6" s="88">
        <v>117.61</v>
      </c>
      <c r="F6" s="88">
        <v>113.96</v>
      </c>
      <c r="G6" s="88">
        <v>91.93</v>
      </c>
      <c r="H6" s="86"/>
      <c r="I6" s="88" t="s">
        <v>201</v>
      </c>
      <c r="J6" s="88">
        <v>67.89</v>
      </c>
      <c r="K6" s="88">
        <v>72.72</v>
      </c>
      <c r="L6" s="88">
        <v>62.73</v>
      </c>
      <c r="M6" s="88">
        <v>56.26</v>
      </c>
      <c r="N6" s="88">
        <v>47.81</v>
      </c>
      <c r="O6" s="86"/>
      <c r="Q6" s="88" t="s">
        <v>201</v>
      </c>
      <c r="R6" s="88">
        <v>44.55</v>
      </c>
      <c r="S6" s="88">
        <v>30.13</v>
      </c>
      <c r="T6" s="88">
        <v>47.12</v>
      </c>
      <c r="U6" s="88">
        <v>57.35</v>
      </c>
      <c r="V6" s="88">
        <v>50.62</v>
      </c>
      <c r="W6" s="88"/>
      <c r="Y6" s="88" t="s">
        <v>201</v>
      </c>
      <c r="Z6" s="88">
        <v>11.69</v>
      </c>
      <c r="AA6" s="88">
        <v>20.309999999999999</v>
      </c>
      <c r="AB6" s="88">
        <v>19.62</v>
      </c>
      <c r="AC6" s="88">
        <v>24.85</v>
      </c>
      <c r="AD6" s="88">
        <v>20.83</v>
      </c>
      <c r="AG6" s="88" t="s">
        <v>201</v>
      </c>
      <c r="AH6" s="88">
        <v>188.97</v>
      </c>
      <c r="AI6" s="88">
        <v>182.55</v>
      </c>
      <c r="AJ6" s="88">
        <v>173.41</v>
      </c>
      <c r="AK6" s="88">
        <v>151.62</v>
      </c>
      <c r="AL6" s="88">
        <v>129.75</v>
      </c>
      <c r="AM6" s="3"/>
      <c r="AO6" s="88" t="s">
        <v>201</v>
      </c>
      <c r="AP6" s="88">
        <v>79.13</v>
      </c>
      <c r="AQ6" s="88">
        <v>73.23</v>
      </c>
      <c r="AR6" s="88">
        <v>69.94</v>
      </c>
      <c r="AS6" s="88">
        <v>65.75</v>
      </c>
      <c r="AT6" s="88">
        <v>58.12</v>
      </c>
      <c r="AU6" s="88"/>
    </row>
    <row r="7" spans="2:47" ht="18" x14ac:dyDescent="0.2">
      <c r="B7" s="88" t="s">
        <v>202</v>
      </c>
      <c r="C7" s="88">
        <v>208.89</v>
      </c>
      <c r="D7" s="88">
        <v>199.23</v>
      </c>
      <c r="E7" s="88">
        <v>203.66</v>
      </c>
      <c r="F7" s="88">
        <v>210.86</v>
      </c>
      <c r="G7" s="88">
        <v>202.15</v>
      </c>
      <c r="H7" s="86"/>
      <c r="I7" s="88" t="s">
        <v>202</v>
      </c>
      <c r="J7" s="88">
        <v>210.34</v>
      </c>
      <c r="K7" s="88">
        <v>195.6</v>
      </c>
      <c r="L7" s="88">
        <v>163.32</v>
      </c>
      <c r="M7" s="88">
        <v>164.78</v>
      </c>
      <c r="N7" s="88">
        <v>167.91</v>
      </c>
      <c r="O7" s="86"/>
      <c r="Q7" s="88" t="s">
        <v>202</v>
      </c>
      <c r="R7" s="88">
        <v>229.02</v>
      </c>
      <c r="S7" s="88">
        <v>237.19</v>
      </c>
      <c r="T7" s="88">
        <v>254.79</v>
      </c>
      <c r="U7" s="88">
        <v>265.95999999999998</v>
      </c>
      <c r="V7" s="88">
        <v>258.32</v>
      </c>
      <c r="W7" s="88"/>
      <c r="Y7" s="88" t="s">
        <v>202</v>
      </c>
      <c r="Z7" s="88">
        <v>60.07</v>
      </c>
      <c r="AA7" s="88">
        <v>110.59</v>
      </c>
      <c r="AB7" s="88">
        <v>114.36</v>
      </c>
      <c r="AC7" s="88">
        <v>99.14</v>
      </c>
      <c r="AD7" s="88">
        <v>82.57</v>
      </c>
      <c r="AG7" s="88" t="s">
        <v>202</v>
      </c>
      <c r="AH7" s="88">
        <v>766.83</v>
      </c>
      <c r="AI7" s="88">
        <v>676.56</v>
      </c>
      <c r="AJ7" s="88">
        <v>560.78</v>
      </c>
      <c r="AK7" s="88">
        <v>504.02</v>
      </c>
      <c r="AL7" s="88">
        <v>417.55</v>
      </c>
      <c r="AM7" s="3"/>
      <c r="AO7" s="88" t="s">
        <v>202</v>
      </c>
      <c r="AP7" s="88">
        <v>256.56</v>
      </c>
      <c r="AQ7" s="88">
        <v>251.46</v>
      </c>
      <c r="AR7" s="88">
        <v>240.88</v>
      </c>
      <c r="AS7" s="88">
        <v>228.38</v>
      </c>
      <c r="AT7" s="88">
        <v>221.3</v>
      </c>
      <c r="AU7" s="88"/>
    </row>
    <row r="8" spans="2:47" ht="18" x14ac:dyDescent="0.2">
      <c r="B8" s="88" t="s">
        <v>203</v>
      </c>
      <c r="C8" s="88">
        <v>208.89</v>
      </c>
      <c r="D8" s="88">
        <v>199.23</v>
      </c>
      <c r="E8" s="88">
        <v>203.66</v>
      </c>
      <c r="F8" s="88">
        <v>210.86</v>
      </c>
      <c r="G8" s="88">
        <v>202.15</v>
      </c>
      <c r="H8" s="86"/>
      <c r="I8" s="88" t="s">
        <v>203</v>
      </c>
      <c r="J8" s="88">
        <v>210.34</v>
      </c>
      <c r="K8" s="88">
        <v>195.6</v>
      </c>
      <c r="L8" s="88">
        <v>163.32</v>
      </c>
      <c r="M8" s="88">
        <v>164.78</v>
      </c>
      <c r="N8" s="88">
        <v>167.91</v>
      </c>
      <c r="O8" s="86"/>
      <c r="Q8" s="88" t="s">
        <v>203</v>
      </c>
      <c r="R8" s="88">
        <v>229.02</v>
      </c>
      <c r="S8" s="88">
        <v>237.19</v>
      </c>
      <c r="T8" s="88">
        <v>254.79</v>
      </c>
      <c r="U8" s="88">
        <v>265.95999999999998</v>
      </c>
      <c r="V8" s="88">
        <v>258.32</v>
      </c>
      <c r="W8" s="88"/>
      <c r="Y8" s="88" t="s">
        <v>203</v>
      </c>
      <c r="Z8" s="88">
        <v>60.07</v>
      </c>
      <c r="AA8" s="88">
        <v>110.59</v>
      </c>
      <c r="AB8" s="88">
        <v>114.36</v>
      </c>
      <c r="AC8" s="88">
        <v>99.14</v>
      </c>
      <c r="AD8" s="88">
        <v>82.57</v>
      </c>
      <c r="AG8" s="88" t="s">
        <v>203</v>
      </c>
      <c r="AH8" s="88">
        <v>766.83</v>
      </c>
      <c r="AI8" s="88">
        <v>676.56</v>
      </c>
      <c r="AJ8" s="88">
        <v>560.78</v>
      </c>
      <c r="AK8" s="88">
        <v>504.02</v>
      </c>
      <c r="AL8" s="88">
        <v>417.55</v>
      </c>
      <c r="AM8" s="3"/>
      <c r="AO8" s="88" t="s">
        <v>203</v>
      </c>
      <c r="AP8" s="88">
        <v>256.56</v>
      </c>
      <c r="AQ8" s="88">
        <v>251.46</v>
      </c>
      <c r="AR8" s="88">
        <v>240.88</v>
      </c>
      <c r="AS8" s="88">
        <v>228.38</v>
      </c>
      <c r="AT8" s="88">
        <v>221.3</v>
      </c>
      <c r="AU8" s="88"/>
    </row>
    <row r="9" spans="2:47" ht="18" x14ac:dyDescent="0.2">
      <c r="B9" s="88" t="s">
        <v>204</v>
      </c>
      <c r="C9" s="88">
        <v>126</v>
      </c>
      <c r="D9" s="88">
        <v>73</v>
      </c>
      <c r="E9" s="88">
        <v>115</v>
      </c>
      <c r="F9" s="88">
        <v>43</v>
      </c>
      <c r="G9" s="88">
        <v>38</v>
      </c>
      <c r="H9" s="86"/>
      <c r="I9" s="88" t="s">
        <v>204</v>
      </c>
      <c r="J9" s="88">
        <v>43</v>
      </c>
      <c r="K9" s="88">
        <v>46</v>
      </c>
      <c r="L9" s="88">
        <v>34</v>
      </c>
      <c r="M9" s="88">
        <v>31</v>
      </c>
      <c r="N9" s="88">
        <v>27</v>
      </c>
      <c r="O9" s="86"/>
      <c r="Q9" s="88" t="s">
        <v>204</v>
      </c>
      <c r="R9" s="88">
        <v>45</v>
      </c>
      <c r="S9" s="88">
        <v>40</v>
      </c>
      <c r="T9" s="88">
        <v>50</v>
      </c>
      <c r="U9" s="88">
        <v>45</v>
      </c>
      <c r="V9" s="88">
        <v>45</v>
      </c>
      <c r="W9" s="88"/>
      <c r="Y9" s="88" t="s">
        <v>204</v>
      </c>
      <c r="Z9" s="88">
        <v>6</v>
      </c>
      <c r="AA9" s="88">
        <v>1</v>
      </c>
      <c r="AB9" s="88">
        <v>1</v>
      </c>
      <c r="AC9" s="88">
        <v>6</v>
      </c>
      <c r="AD9" s="88">
        <v>1</v>
      </c>
      <c r="AG9" s="88" t="s">
        <v>205</v>
      </c>
      <c r="AH9" s="89">
        <v>1284.06</v>
      </c>
      <c r="AI9" s="89">
        <v>1199.9000000000001</v>
      </c>
      <c r="AJ9" s="89">
        <v>1121.05</v>
      </c>
      <c r="AK9" s="88">
        <v>895.35</v>
      </c>
      <c r="AL9" s="88">
        <v>706.85</v>
      </c>
      <c r="AM9" s="3"/>
      <c r="AO9" s="88" t="s">
        <v>205</v>
      </c>
      <c r="AP9" s="88">
        <v>431.14</v>
      </c>
      <c r="AQ9" s="88">
        <v>404.84</v>
      </c>
      <c r="AR9" s="88">
        <v>373.69</v>
      </c>
      <c r="AS9" s="88">
        <v>315.47000000000003</v>
      </c>
      <c r="AT9" s="88">
        <v>277.64</v>
      </c>
      <c r="AU9" s="88"/>
    </row>
    <row r="10" spans="2:47" ht="18" x14ac:dyDescent="0.2">
      <c r="B10" s="88" t="s">
        <v>205</v>
      </c>
      <c r="C10" s="88">
        <v>593.52</v>
      </c>
      <c r="D10" s="88">
        <v>559</v>
      </c>
      <c r="E10" s="88">
        <v>520.09</v>
      </c>
      <c r="F10" s="88">
        <v>438.09</v>
      </c>
      <c r="G10" s="88">
        <v>367.47</v>
      </c>
      <c r="H10" s="86"/>
      <c r="I10" s="88" t="s">
        <v>205</v>
      </c>
      <c r="J10" s="88">
        <v>328.98</v>
      </c>
      <c r="K10" s="88">
        <v>310.68</v>
      </c>
      <c r="L10" s="88">
        <v>298.97000000000003</v>
      </c>
      <c r="M10" s="88">
        <v>247.12</v>
      </c>
      <c r="N10" s="88">
        <v>201.67</v>
      </c>
      <c r="O10" s="86"/>
      <c r="Q10" s="88" t="s">
        <v>205</v>
      </c>
      <c r="R10" s="88">
        <v>455.74</v>
      </c>
      <c r="S10" s="88">
        <v>430.99</v>
      </c>
      <c r="T10" s="88">
        <v>437.87</v>
      </c>
      <c r="U10" s="88">
        <v>357.34</v>
      </c>
      <c r="V10" s="88">
        <v>306.14</v>
      </c>
      <c r="W10" s="88"/>
      <c r="Y10" s="88" t="s">
        <v>205</v>
      </c>
      <c r="Z10" s="88">
        <v>64.260000000000005</v>
      </c>
      <c r="AA10" s="88">
        <v>127.83</v>
      </c>
      <c r="AB10" s="88">
        <v>123.46</v>
      </c>
      <c r="AC10" s="88">
        <v>108.67</v>
      </c>
      <c r="AD10" s="88">
        <v>91.8</v>
      </c>
      <c r="AG10" s="88" t="s">
        <v>206</v>
      </c>
      <c r="AH10" s="88">
        <v>252.86</v>
      </c>
      <c r="AI10" s="88">
        <v>239.5</v>
      </c>
      <c r="AJ10" s="88">
        <v>225.16</v>
      </c>
      <c r="AK10" s="88">
        <v>201.43</v>
      </c>
      <c r="AL10" s="88">
        <v>171.4</v>
      </c>
      <c r="AM10" s="3"/>
      <c r="AO10" s="88" t="s">
        <v>206</v>
      </c>
      <c r="AP10" s="88">
        <v>103.09</v>
      </c>
      <c r="AQ10" s="88">
        <v>94.63</v>
      </c>
      <c r="AR10" s="88">
        <v>88.35</v>
      </c>
      <c r="AS10" s="88">
        <v>79.55</v>
      </c>
      <c r="AT10" s="88">
        <v>77.260000000000005</v>
      </c>
      <c r="AU10" s="88"/>
    </row>
    <row r="11" spans="2:47" ht="18" x14ac:dyDescent="0.2">
      <c r="B11" s="88" t="s">
        <v>206</v>
      </c>
      <c r="C11" s="88">
        <v>186.66</v>
      </c>
      <c r="D11" s="88">
        <v>174.36</v>
      </c>
      <c r="E11" s="88">
        <v>153.88999999999999</v>
      </c>
      <c r="F11" s="88">
        <v>146.81</v>
      </c>
      <c r="G11" s="88">
        <v>123.54</v>
      </c>
      <c r="H11" s="86"/>
      <c r="I11" s="88" t="s">
        <v>206</v>
      </c>
      <c r="J11" s="88">
        <v>92.2</v>
      </c>
      <c r="K11" s="88">
        <v>94.4</v>
      </c>
      <c r="L11" s="88">
        <v>83.3</v>
      </c>
      <c r="M11" s="88">
        <v>73.83</v>
      </c>
      <c r="N11" s="88">
        <v>63.2</v>
      </c>
      <c r="O11" s="86"/>
      <c r="Q11" s="88" t="s">
        <v>206</v>
      </c>
      <c r="R11" s="88">
        <v>57.11</v>
      </c>
      <c r="S11" s="88">
        <v>37.119999999999997</v>
      </c>
      <c r="T11" s="88">
        <v>60.54</v>
      </c>
      <c r="U11" s="88">
        <v>72.11</v>
      </c>
      <c r="V11" s="88">
        <v>64.569999999999993</v>
      </c>
      <c r="W11" s="88"/>
      <c r="Y11" s="88" t="s">
        <v>206</v>
      </c>
      <c r="Z11" s="88">
        <v>16.100000000000001</v>
      </c>
      <c r="AA11" s="88">
        <v>28.19</v>
      </c>
      <c r="AB11" s="88">
        <v>26.4</v>
      </c>
      <c r="AC11" s="88">
        <v>31.22</v>
      </c>
      <c r="AD11" s="88">
        <v>26.35</v>
      </c>
      <c r="AG11" s="88" t="s">
        <v>207</v>
      </c>
      <c r="AH11" s="88">
        <v>219.36</v>
      </c>
      <c r="AI11" s="88">
        <v>211.84</v>
      </c>
      <c r="AJ11" s="88">
        <v>200.74</v>
      </c>
      <c r="AK11" s="88">
        <v>181.15</v>
      </c>
      <c r="AL11" s="88">
        <v>152.4</v>
      </c>
      <c r="AM11" s="3"/>
      <c r="AO11" s="88" t="s">
        <v>207</v>
      </c>
      <c r="AP11" s="88">
        <v>88.05</v>
      </c>
      <c r="AQ11" s="88">
        <v>79.260000000000005</v>
      </c>
      <c r="AR11" s="88">
        <v>73.08</v>
      </c>
      <c r="AS11" s="88">
        <v>63.61</v>
      </c>
      <c r="AT11" s="88">
        <v>60.27</v>
      </c>
      <c r="AU11" s="88"/>
    </row>
    <row r="12" spans="2:47" ht="18" x14ac:dyDescent="0.2">
      <c r="B12" s="88" t="s">
        <v>207</v>
      </c>
      <c r="C12" s="88">
        <v>175</v>
      </c>
      <c r="D12" s="88">
        <v>163.63</v>
      </c>
      <c r="E12" s="88">
        <v>143.13</v>
      </c>
      <c r="F12" s="88">
        <v>137.18</v>
      </c>
      <c r="G12" s="88">
        <v>115.29</v>
      </c>
      <c r="H12" s="86"/>
      <c r="I12" s="88" t="s">
        <v>207</v>
      </c>
      <c r="J12" s="88">
        <v>85.89</v>
      </c>
      <c r="K12" s="88">
        <v>87.3</v>
      </c>
      <c r="L12" s="88">
        <v>76.66</v>
      </c>
      <c r="M12" s="88">
        <v>68.05</v>
      </c>
      <c r="N12" s="88">
        <v>57.75</v>
      </c>
      <c r="O12" s="86"/>
      <c r="Q12" s="88" t="s">
        <v>207</v>
      </c>
      <c r="R12" s="88">
        <v>48.37</v>
      </c>
      <c r="S12" s="88">
        <v>28.78</v>
      </c>
      <c r="T12" s="88">
        <v>52.2</v>
      </c>
      <c r="U12" s="88">
        <v>65.319999999999993</v>
      </c>
      <c r="V12" s="88">
        <v>57.73</v>
      </c>
      <c r="W12" s="88"/>
      <c r="Y12" s="88" t="s">
        <v>207</v>
      </c>
      <c r="Z12" s="88">
        <v>14.72</v>
      </c>
      <c r="AA12" s="88">
        <v>25.33</v>
      </c>
      <c r="AB12" s="88">
        <v>23.5</v>
      </c>
      <c r="AC12" s="88">
        <v>28.51</v>
      </c>
      <c r="AD12" s="88">
        <v>23.89</v>
      </c>
      <c r="AG12" s="88" t="s">
        <v>208</v>
      </c>
      <c r="AH12" s="88">
        <v>209.94</v>
      </c>
      <c r="AI12" s="88">
        <v>204.35</v>
      </c>
      <c r="AJ12" s="88">
        <v>195.66</v>
      </c>
      <c r="AK12" s="88">
        <v>176.99</v>
      </c>
      <c r="AL12" s="88">
        <v>147.9</v>
      </c>
      <c r="AM12" s="3"/>
      <c r="AO12" s="88" t="s">
        <v>208</v>
      </c>
      <c r="AP12" s="88">
        <v>85.68</v>
      </c>
      <c r="AQ12" s="88">
        <v>77.23</v>
      </c>
      <c r="AR12" s="88">
        <v>71.78</v>
      </c>
      <c r="AS12" s="88">
        <v>62.44</v>
      </c>
      <c r="AT12" s="88">
        <v>58.39</v>
      </c>
      <c r="AU12" s="88"/>
    </row>
    <row r="13" spans="2:47" ht="18" x14ac:dyDescent="0.2">
      <c r="B13" s="88" t="s">
        <v>208</v>
      </c>
      <c r="C13" s="88">
        <v>173.06</v>
      </c>
      <c r="D13" s="88">
        <v>159.12</v>
      </c>
      <c r="E13" s="88">
        <v>141.22999999999999</v>
      </c>
      <c r="F13" s="88">
        <v>135.86000000000001</v>
      </c>
      <c r="G13" s="88">
        <v>110.55</v>
      </c>
      <c r="H13" s="86"/>
      <c r="I13" s="88" t="s">
        <v>208</v>
      </c>
      <c r="J13" s="88">
        <v>85.36</v>
      </c>
      <c r="K13" s="88">
        <v>86.63</v>
      </c>
      <c r="L13" s="88">
        <v>76.28</v>
      </c>
      <c r="M13" s="88">
        <v>67.75</v>
      </c>
      <c r="N13" s="88">
        <v>57.46</v>
      </c>
      <c r="O13" s="86"/>
      <c r="Q13" s="88" t="s">
        <v>208</v>
      </c>
      <c r="R13" s="88">
        <v>45.94</v>
      </c>
      <c r="S13" s="88">
        <v>26.26</v>
      </c>
      <c r="T13" s="88">
        <v>50.34</v>
      </c>
      <c r="U13" s="88">
        <v>64.67</v>
      </c>
      <c r="V13" s="88">
        <v>57.08</v>
      </c>
      <c r="W13" s="88"/>
      <c r="Y13" s="88" t="s">
        <v>208</v>
      </c>
      <c r="Z13" s="88">
        <v>13.78</v>
      </c>
      <c r="AA13" s="88">
        <v>23.77</v>
      </c>
      <c r="AB13" s="88">
        <v>22.36</v>
      </c>
      <c r="AC13" s="88">
        <v>27.84</v>
      </c>
      <c r="AD13" s="88">
        <v>23.15</v>
      </c>
      <c r="AG13" s="88" t="s">
        <v>209</v>
      </c>
      <c r="AH13" s="88">
        <v>155.47</v>
      </c>
      <c r="AI13" s="88">
        <v>154.88999999999999</v>
      </c>
      <c r="AJ13" s="88">
        <v>149</v>
      </c>
      <c r="AK13" s="88">
        <v>131.34</v>
      </c>
      <c r="AL13" s="88">
        <v>110.75</v>
      </c>
      <c r="AM13" s="3"/>
      <c r="AO13" s="88" t="s">
        <v>209</v>
      </c>
      <c r="AP13" s="88">
        <v>64.08</v>
      </c>
      <c r="AQ13" s="88">
        <v>57.86</v>
      </c>
      <c r="AR13" s="88">
        <v>54.68</v>
      </c>
      <c r="AS13" s="88">
        <v>49.81</v>
      </c>
      <c r="AT13" s="88">
        <v>41.14</v>
      </c>
      <c r="AU13" s="88"/>
    </row>
    <row r="14" spans="2:47" ht="18" x14ac:dyDescent="0.2">
      <c r="B14" s="88" t="s">
        <v>209</v>
      </c>
      <c r="C14" s="88">
        <v>132.75</v>
      </c>
      <c r="D14" s="88">
        <v>120.33</v>
      </c>
      <c r="E14" s="88">
        <v>106.85</v>
      </c>
      <c r="F14" s="88">
        <v>104.34</v>
      </c>
      <c r="G14" s="88">
        <v>83.68</v>
      </c>
      <c r="H14" s="86"/>
      <c r="I14" s="88" t="s">
        <v>209</v>
      </c>
      <c r="J14" s="88">
        <v>61.58</v>
      </c>
      <c r="K14" s="88">
        <v>65.62</v>
      </c>
      <c r="L14" s="88">
        <v>56.09</v>
      </c>
      <c r="M14" s="88">
        <v>50.49</v>
      </c>
      <c r="N14" s="88">
        <v>42.37</v>
      </c>
      <c r="O14" s="86"/>
      <c r="Q14" s="88" t="s">
        <v>209</v>
      </c>
      <c r="R14" s="88">
        <v>35.81</v>
      </c>
      <c r="S14" s="88">
        <v>21.79</v>
      </c>
      <c r="T14" s="88">
        <v>38.78</v>
      </c>
      <c r="U14" s="88">
        <v>50.56</v>
      </c>
      <c r="V14" s="88">
        <v>43.78</v>
      </c>
      <c r="W14" s="88"/>
      <c r="Y14" s="88" t="s">
        <v>209</v>
      </c>
      <c r="Z14" s="88">
        <v>10.31</v>
      </c>
      <c r="AA14" s="88">
        <v>17.45</v>
      </c>
      <c r="AB14" s="88">
        <v>16.72</v>
      </c>
      <c r="AC14" s="88">
        <v>22.14</v>
      </c>
      <c r="AD14" s="88">
        <v>18.36</v>
      </c>
      <c r="AG14" s="88" t="s">
        <v>277</v>
      </c>
      <c r="AH14" s="88">
        <v>155.36000000000001</v>
      </c>
      <c r="AI14" s="88">
        <v>154.80000000000001</v>
      </c>
      <c r="AJ14" s="88">
        <v>148.93</v>
      </c>
      <c r="AK14" s="88">
        <v>131.25</v>
      </c>
      <c r="AL14" s="88">
        <v>110.63</v>
      </c>
      <c r="AM14" s="3"/>
      <c r="AO14" s="88" t="s">
        <v>277</v>
      </c>
      <c r="AP14" s="88">
        <v>64.05</v>
      </c>
      <c r="AQ14" s="88">
        <v>57.83</v>
      </c>
      <c r="AR14" s="88">
        <v>54.7</v>
      </c>
      <c r="AS14" s="88">
        <v>49.72</v>
      </c>
      <c r="AT14" s="88">
        <v>41.05</v>
      </c>
      <c r="AU14" s="88"/>
    </row>
    <row r="15" spans="2:47" ht="18" x14ac:dyDescent="0.2">
      <c r="B15" s="87" t="s">
        <v>169</v>
      </c>
      <c r="C15" s="87"/>
      <c r="D15" s="87"/>
      <c r="E15" s="87"/>
      <c r="F15" s="87"/>
      <c r="G15" s="87"/>
      <c r="H15" s="85"/>
      <c r="I15" s="87" t="s">
        <v>169</v>
      </c>
      <c r="J15" s="87"/>
      <c r="K15" s="87"/>
      <c r="L15" s="87"/>
      <c r="M15" s="87"/>
      <c r="N15" s="87"/>
      <c r="O15" s="85"/>
      <c r="Q15" s="87" t="s">
        <v>169</v>
      </c>
      <c r="R15" s="87"/>
      <c r="S15" s="87"/>
      <c r="T15" s="87"/>
      <c r="U15" s="87"/>
      <c r="V15" s="87"/>
      <c r="W15" s="87"/>
      <c r="Y15" s="87" t="s">
        <v>169</v>
      </c>
      <c r="Z15" s="87"/>
      <c r="AA15" s="87"/>
      <c r="AB15" s="87"/>
      <c r="AC15" s="87"/>
      <c r="AD15" s="87"/>
      <c r="AG15" s="87" t="s">
        <v>169</v>
      </c>
      <c r="AH15" s="87"/>
      <c r="AI15" s="87"/>
      <c r="AJ15" s="87"/>
      <c r="AK15" s="87"/>
      <c r="AL15" s="87"/>
      <c r="AM15" s="2"/>
      <c r="AO15" s="87" t="s">
        <v>169</v>
      </c>
      <c r="AP15" s="87"/>
      <c r="AQ15" s="87"/>
      <c r="AR15" s="87"/>
      <c r="AS15" s="87"/>
      <c r="AT15" s="87"/>
      <c r="AU15" s="87"/>
    </row>
    <row r="16" spans="2:47" ht="18" x14ac:dyDescent="0.2">
      <c r="B16" s="88" t="s">
        <v>170</v>
      </c>
      <c r="C16" s="88">
        <v>31.44</v>
      </c>
      <c r="D16" s="88">
        <v>31.19</v>
      </c>
      <c r="E16" s="88">
        <v>29.58</v>
      </c>
      <c r="F16" s="88">
        <v>33.51</v>
      </c>
      <c r="G16" s="88">
        <v>33.61</v>
      </c>
      <c r="H16" s="86"/>
      <c r="I16" s="88" t="s">
        <v>170</v>
      </c>
      <c r="J16" s="88">
        <v>28.02</v>
      </c>
      <c r="K16" s="88">
        <v>30.38</v>
      </c>
      <c r="L16" s="88">
        <v>27.86</v>
      </c>
      <c r="M16" s="88">
        <v>29.87</v>
      </c>
      <c r="N16" s="88">
        <v>31.33</v>
      </c>
      <c r="O16" s="86"/>
      <c r="Q16" s="88" t="s">
        <v>170</v>
      </c>
      <c r="R16" s="88">
        <v>12.53</v>
      </c>
      <c r="S16" s="88">
        <v>8.61</v>
      </c>
      <c r="T16" s="88">
        <v>13.82</v>
      </c>
      <c r="U16" s="88">
        <v>20.18</v>
      </c>
      <c r="V16" s="88">
        <v>21.09</v>
      </c>
      <c r="W16" s="88"/>
      <c r="Y16" s="88" t="s">
        <v>170</v>
      </c>
      <c r="Z16" s="88">
        <v>25.05</v>
      </c>
      <c r="AA16" s="88">
        <v>22.05</v>
      </c>
      <c r="AB16" s="88">
        <v>21.38</v>
      </c>
      <c r="AC16" s="88">
        <v>28.73</v>
      </c>
      <c r="AD16" s="88">
        <v>28.7</v>
      </c>
      <c r="AG16" s="88" t="s">
        <v>170</v>
      </c>
      <c r="AH16" s="88">
        <v>19.690000000000001</v>
      </c>
      <c r="AI16" s="88">
        <v>19.96</v>
      </c>
      <c r="AJ16" s="88">
        <v>20.079999999999998</v>
      </c>
      <c r="AK16" s="88">
        <v>22.49</v>
      </c>
      <c r="AL16" s="88">
        <v>24.24</v>
      </c>
      <c r="AM16" s="3"/>
      <c r="AO16" s="88" t="s">
        <v>170</v>
      </c>
      <c r="AP16" s="88">
        <v>23.91</v>
      </c>
      <c r="AQ16" s="88">
        <v>23.37</v>
      </c>
      <c r="AR16" s="88">
        <v>23.64</v>
      </c>
      <c r="AS16" s="88">
        <v>25.21</v>
      </c>
      <c r="AT16" s="88">
        <v>27.82</v>
      </c>
      <c r="AU16" s="88"/>
    </row>
    <row r="17" spans="2:47" ht="18" x14ac:dyDescent="0.2">
      <c r="B17" s="88" t="s">
        <v>171</v>
      </c>
      <c r="C17" s="88">
        <v>29.48</v>
      </c>
      <c r="D17" s="88">
        <v>29.27</v>
      </c>
      <c r="E17" s="88">
        <v>27.51</v>
      </c>
      <c r="F17" s="88">
        <v>31.31</v>
      </c>
      <c r="G17" s="88">
        <v>31.37</v>
      </c>
      <c r="H17" s="86"/>
      <c r="I17" s="88" t="s">
        <v>171</v>
      </c>
      <c r="J17" s="88">
        <v>26.1</v>
      </c>
      <c r="K17" s="88">
        <v>28.09</v>
      </c>
      <c r="L17" s="88">
        <v>25.64</v>
      </c>
      <c r="M17" s="88">
        <v>27.53</v>
      </c>
      <c r="N17" s="88">
        <v>28.63</v>
      </c>
      <c r="O17" s="86"/>
      <c r="Q17" s="88" t="s">
        <v>171</v>
      </c>
      <c r="R17" s="88">
        <v>10.61</v>
      </c>
      <c r="S17" s="88">
        <v>6.67</v>
      </c>
      <c r="T17" s="88">
        <v>11.92</v>
      </c>
      <c r="U17" s="88">
        <v>18.28</v>
      </c>
      <c r="V17" s="88">
        <v>18.850000000000001</v>
      </c>
      <c r="W17" s="88"/>
      <c r="Y17" s="88" t="s">
        <v>171</v>
      </c>
      <c r="Z17" s="88">
        <v>22.9</v>
      </c>
      <c r="AA17" s="88">
        <v>19.809999999999999</v>
      </c>
      <c r="AB17" s="88">
        <v>19.03</v>
      </c>
      <c r="AC17" s="88">
        <v>26.23</v>
      </c>
      <c r="AD17" s="88">
        <v>26.01</v>
      </c>
      <c r="AG17" s="88" t="s">
        <v>171</v>
      </c>
      <c r="AH17" s="88">
        <v>17.079999999999998</v>
      </c>
      <c r="AI17" s="88">
        <v>17.649999999999999</v>
      </c>
      <c r="AJ17" s="88">
        <v>17.899999999999999</v>
      </c>
      <c r="AK17" s="88">
        <v>20.23</v>
      </c>
      <c r="AL17" s="88">
        <v>21.56</v>
      </c>
      <c r="AM17" s="3"/>
      <c r="AO17" s="88" t="s">
        <v>171</v>
      </c>
      <c r="AP17" s="88">
        <v>20.420000000000002</v>
      </c>
      <c r="AQ17" s="88">
        <v>19.57</v>
      </c>
      <c r="AR17" s="88">
        <v>19.55</v>
      </c>
      <c r="AS17" s="88">
        <v>20.16</v>
      </c>
      <c r="AT17" s="88">
        <v>21.7</v>
      </c>
      <c r="AU17" s="88"/>
    </row>
    <row r="18" spans="2:47" ht="18" x14ac:dyDescent="0.2">
      <c r="B18" s="88" t="s">
        <v>172</v>
      </c>
      <c r="C18" s="88">
        <v>29.15</v>
      </c>
      <c r="D18" s="88">
        <v>28.46</v>
      </c>
      <c r="E18" s="88">
        <v>27.15</v>
      </c>
      <c r="F18" s="88">
        <v>31.01</v>
      </c>
      <c r="G18" s="88">
        <v>30.08</v>
      </c>
      <c r="H18" s="86"/>
      <c r="I18" s="88" t="s">
        <v>172</v>
      </c>
      <c r="J18" s="88">
        <v>25.94</v>
      </c>
      <c r="K18" s="88">
        <v>27.88</v>
      </c>
      <c r="L18" s="88">
        <v>25.51</v>
      </c>
      <c r="M18" s="88">
        <v>27.41</v>
      </c>
      <c r="N18" s="88">
        <v>28.49</v>
      </c>
      <c r="O18" s="86"/>
      <c r="Q18" s="88" t="s">
        <v>172</v>
      </c>
      <c r="R18" s="88">
        <v>10.07</v>
      </c>
      <c r="S18" s="88">
        <v>6.09</v>
      </c>
      <c r="T18" s="88">
        <v>11.49</v>
      </c>
      <c r="U18" s="88">
        <v>18.09</v>
      </c>
      <c r="V18" s="88">
        <v>18.64</v>
      </c>
      <c r="W18" s="88"/>
      <c r="Y18" s="88" t="s">
        <v>172</v>
      </c>
      <c r="Z18" s="88">
        <v>21.44</v>
      </c>
      <c r="AA18" s="88">
        <v>18.59</v>
      </c>
      <c r="AB18" s="88">
        <v>18.100000000000001</v>
      </c>
      <c r="AC18" s="88">
        <v>25.62</v>
      </c>
      <c r="AD18" s="88">
        <v>25.21</v>
      </c>
      <c r="AG18" s="88" t="s">
        <v>172</v>
      </c>
      <c r="AH18" s="88">
        <v>16.34</v>
      </c>
      <c r="AI18" s="88">
        <v>17.03</v>
      </c>
      <c r="AJ18" s="88">
        <v>17.45</v>
      </c>
      <c r="AK18" s="88">
        <v>19.760000000000002</v>
      </c>
      <c r="AL18" s="88">
        <v>20.92</v>
      </c>
      <c r="AM18" s="3"/>
      <c r="AO18" s="88" t="s">
        <v>172</v>
      </c>
      <c r="AP18" s="88">
        <v>19.87</v>
      </c>
      <c r="AQ18" s="88">
        <v>19.07</v>
      </c>
      <c r="AR18" s="88">
        <v>19.2</v>
      </c>
      <c r="AS18" s="88">
        <v>19.79</v>
      </c>
      <c r="AT18" s="88">
        <v>21.03</v>
      </c>
      <c r="AU18" s="88"/>
    </row>
    <row r="19" spans="2:47" ht="18" x14ac:dyDescent="0.2">
      <c r="B19" s="88" t="s">
        <v>173</v>
      </c>
      <c r="C19" s="88">
        <v>22.36</v>
      </c>
      <c r="D19" s="88">
        <v>21.52</v>
      </c>
      <c r="E19" s="88">
        <v>20.54</v>
      </c>
      <c r="F19" s="88">
        <v>23.81</v>
      </c>
      <c r="G19" s="88">
        <v>22.77</v>
      </c>
      <c r="H19" s="86"/>
      <c r="I19" s="88" t="s">
        <v>173</v>
      </c>
      <c r="J19" s="88">
        <v>18.71</v>
      </c>
      <c r="K19" s="88">
        <v>21.12</v>
      </c>
      <c r="L19" s="88">
        <v>18.760000000000002</v>
      </c>
      <c r="M19" s="88">
        <v>20.43</v>
      </c>
      <c r="N19" s="88">
        <v>21</v>
      </c>
      <c r="O19" s="86"/>
      <c r="Q19" s="88" t="s">
        <v>173</v>
      </c>
      <c r="R19" s="88">
        <v>7.85</v>
      </c>
      <c r="S19" s="88">
        <v>5.05</v>
      </c>
      <c r="T19" s="88">
        <v>8.85</v>
      </c>
      <c r="U19" s="88">
        <v>14.14</v>
      </c>
      <c r="V19" s="88">
        <v>14.3</v>
      </c>
      <c r="W19" s="88"/>
      <c r="Y19" s="88" t="s">
        <v>173</v>
      </c>
      <c r="Z19" s="88">
        <v>16.03</v>
      </c>
      <c r="AA19" s="88">
        <v>13.65</v>
      </c>
      <c r="AB19" s="88">
        <v>13.54</v>
      </c>
      <c r="AC19" s="88">
        <v>20.36</v>
      </c>
      <c r="AD19" s="88">
        <v>20</v>
      </c>
      <c r="AG19" s="88" t="s">
        <v>173</v>
      </c>
      <c r="AH19" s="88">
        <v>12.1</v>
      </c>
      <c r="AI19" s="88">
        <v>12.9</v>
      </c>
      <c r="AJ19" s="88">
        <v>13.29</v>
      </c>
      <c r="AK19" s="88">
        <v>14.66</v>
      </c>
      <c r="AL19" s="88">
        <v>15.66</v>
      </c>
      <c r="AM19" s="3"/>
      <c r="AO19" s="88" t="s">
        <v>173</v>
      </c>
      <c r="AP19" s="88">
        <v>14.86</v>
      </c>
      <c r="AQ19" s="88">
        <v>14.29</v>
      </c>
      <c r="AR19" s="88">
        <v>14.63</v>
      </c>
      <c r="AS19" s="88">
        <v>15.78</v>
      </c>
      <c r="AT19" s="88">
        <v>14.81</v>
      </c>
      <c r="AU19" s="88"/>
    </row>
    <row r="20" spans="2:47" ht="18" x14ac:dyDescent="0.2">
      <c r="B20" s="88" t="s">
        <v>174</v>
      </c>
      <c r="C20" s="88">
        <v>63.55</v>
      </c>
      <c r="D20" s="88">
        <v>60.39</v>
      </c>
      <c r="E20" s="88">
        <v>52.46</v>
      </c>
      <c r="F20" s="88">
        <v>49.48</v>
      </c>
      <c r="G20" s="88">
        <v>41.39</v>
      </c>
      <c r="H20" s="86"/>
      <c r="I20" s="88" t="s">
        <v>174</v>
      </c>
      <c r="J20" s="88">
        <v>29.27</v>
      </c>
      <c r="K20" s="88">
        <v>33.54</v>
      </c>
      <c r="L20" s="88">
        <v>34.340000000000003</v>
      </c>
      <c r="M20" s="88">
        <v>30.63</v>
      </c>
      <c r="N20" s="88">
        <v>25.23</v>
      </c>
      <c r="O20" s="86"/>
      <c r="Q20" s="88" t="s">
        <v>174</v>
      </c>
      <c r="R20" s="88">
        <v>15.63</v>
      </c>
      <c r="S20" s="88">
        <v>9.18</v>
      </c>
      <c r="T20" s="88">
        <v>15.21</v>
      </c>
      <c r="U20" s="88">
        <v>19</v>
      </c>
      <c r="V20" s="88">
        <v>16.940000000000001</v>
      </c>
      <c r="W20" s="88"/>
      <c r="Y20" s="88" t="s">
        <v>174</v>
      </c>
      <c r="Z20" s="88">
        <v>17.149999999999999</v>
      </c>
      <c r="AA20" s="88">
        <v>15.78</v>
      </c>
      <c r="AB20" s="88">
        <v>14.62</v>
      </c>
      <c r="AC20" s="88">
        <v>22.32</v>
      </c>
      <c r="AD20" s="88">
        <v>22.23</v>
      </c>
      <c r="AG20" s="88" t="s">
        <v>278</v>
      </c>
      <c r="AH20" s="88">
        <v>12.09</v>
      </c>
      <c r="AI20" s="88">
        <v>12.9</v>
      </c>
      <c r="AJ20" s="88">
        <v>13.28</v>
      </c>
      <c r="AK20" s="88">
        <v>14.65</v>
      </c>
      <c r="AL20" s="88">
        <v>15.65</v>
      </c>
      <c r="AM20" s="3"/>
      <c r="AO20" s="88" t="s">
        <v>278</v>
      </c>
      <c r="AP20" s="88">
        <v>14.85</v>
      </c>
      <c r="AQ20" s="88">
        <v>14.28</v>
      </c>
      <c r="AR20" s="88">
        <v>14.63</v>
      </c>
      <c r="AS20" s="88">
        <v>15.76</v>
      </c>
      <c r="AT20" s="88">
        <v>14.78</v>
      </c>
      <c r="AU20" s="88"/>
    </row>
    <row r="21" spans="2:47" ht="18" x14ac:dyDescent="0.2">
      <c r="B21" s="88" t="s">
        <v>175</v>
      </c>
      <c r="C21" s="88">
        <v>75.77</v>
      </c>
      <c r="D21" s="88">
        <v>75.849999999999994</v>
      </c>
      <c r="E21" s="88">
        <v>65.069999999999993</v>
      </c>
      <c r="F21" s="88">
        <v>60.23</v>
      </c>
      <c r="G21" s="88">
        <v>52.75</v>
      </c>
      <c r="H21" s="86"/>
      <c r="I21" s="88" t="s">
        <v>175</v>
      </c>
      <c r="J21" s="88">
        <v>38.270000000000003</v>
      </c>
      <c r="K21" s="88">
        <v>41.23</v>
      </c>
      <c r="L21" s="88">
        <v>43.03</v>
      </c>
      <c r="M21" s="88">
        <v>38.46</v>
      </c>
      <c r="N21" s="88">
        <v>32.229999999999997</v>
      </c>
      <c r="O21" s="86"/>
      <c r="Q21" s="88" t="s">
        <v>175</v>
      </c>
      <c r="R21" s="88">
        <v>18.440000000000001</v>
      </c>
      <c r="S21" s="88">
        <v>10.88</v>
      </c>
      <c r="T21" s="88">
        <v>19.23</v>
      </c>
      <c r="U21" s="88">
        <v>22.37</v>
      </c>
      <c r="V21" s="88">
        <v>20.39</v>
      </c>
      <c r="W21" s="88"/>
      <c r="Y21" s="88" t="s">
        <v>175</v>
      </c>
      <c r="Z21" s="88">
        <v>22.15</v>
      </c>
      <c r="AA21" s="88">
        <v>20.94</v>
      </c>
      <c r="AB21" s="88">
        <v>19.399999999999999</v>
      </c>
      <c r="AC21" s="88">
        <v>27.32</v>
      </c>
      <c r="AD21" s="88">
        <v>27.49</v>
      </c>
      <c r="AG21" s="88" t="s">
        <v>279</v>
      </c>
      <c r="AH21" s="88">
        <v>20.260000000000002</v>
      </c>
      <c r="AI21" s="88">
        <v>22.89</v>
      </c>
      <c r="AJ21" s="88">
        <v>26.56</v>
      </c>
      <c r="AK21" s="88">
        <v>26.05</v>
      </c>
      <c r="AL21" s="88">
        <v>26.5</v>
      </c>
      <c r="AM21" s="3"/>
      <c r="AO21" s="88" t="s">
        <v>279</v>
      </c>
      <c r="AP21" s="88">
        <v>24.96</v>
      </c>
      <c r="AQ21" s="88">
        <v>23</v>
      </c>
      <c r="AR21" s="88">
        <v>22.7</v>
      </c>
      <c r="AS21" s="88">
        <v>21.8</v>
      </c>
      <c r="AT21" s="88">
        <v>18.600000000000001</v>
      </c>
      <c r="AU21" s="88"/>
    </row>
    <row r="22" spans="2:47" ht="18" x14ac:dyDescent="0.2">
      <c r="B22" s="88" t="s">
        <v>176</v>
      </c>
      <c r="C22" s="88">
        <v>36.19</v>
      </c>
      <c r="D22" s="88">
        <v>35.950000000000003</v>
      </c>
      <c r="E22" s="88">
        <v>32.630000000000003</v>
      </c>
      <c r="F22" s="88">
        <v>31.49</v>
      </c>
      <c r="G22" s="88">
        <v>28.3</v>
      </c>
      <c r="H22" s="86"/>
      <c r="I22" s="88" t="s">
        <v>176</v>
      </c>
      <c r="J22" s="88">
        <v>20.46</v>
      </c>
      <c r="K22" s="88">
        <v>23.69</v>
      </c>
      <c r="L22" s="88">
        <v>22.96</v>
      </c>
      <c r="M22" s="88">
        <v>21.36</v>
      </c>
      <c r="N22" s="88">
        <v>19.21</v>
      </c>
      <c r="O22" s="86"/>
      <c r="Q22" s="88" t="s">
        <v>176</v>
      </c>
      <c r="R22" s="88">
        <v>9.69</v>
      </c>
      <c r="S22" s="88">
        <v>6.14</v>
      </c>
      <c r="T22" s="88">
        <v>10.48</v>
      </c>
      <c r="U22" s="88">
        <v>14.03</v>
      </c>
      <c r="V22" s="88">
        <v>12.7</v>
      </c>
      <c r="W22" s="88"/>
      <c r="Y22" s="88" t="s">
        <v>176</v>
      </c>
      <c r="Z22" s="88">
        <v>11.72</v>
      </c>
      <c r="AA22" s="88">
        <v>11.16</v>
      </c>
      <c r="AB22" s="88">
        <v>10.75</v>
      </c>
      <c r="AC22" s="88">
        <v>15.09</v>
      </c>
      <c r="AD22" s="88">
        <v>15.3</v>
      </c>
      <c r="AG22" s="88" t="s">
        <v>175</v>
      </c>
      <c r="AH22" s="88">
        <v>26.32</v>
      </c>
      <c r="AI22" s="88">
        <v>28.73</v>
      </c>
      <c r="AJ22" s="88">
        <v>32.979999999999997</v>
      </c>
      <c r="AK22" s="88">
        <v>33.19</v>
      </c>
      <c r="AL22" s="88">
        <v>33.020000000000003</v>
      </c>
      <c r="AM22" s="3"/>
      <c r="AO22" s="88" t="s">
        <v>175</v>
      </c>
      <c r="AP22" s="88">
        <v>30.84</v>
      </c>
      <c r="AQ22" s="88">
        <v>27.92</v>
      </c>
      <c r="AR22" s="88">
        <v>27.56</v>
      </c>
      <c r="AS22" s="88">
        <v>24.58</v>
      </c>
      <c r="AT22" s="88">
        <v>23.78</v>
      </c>
      <c r="AU22" s="88"/>
    </row>
    <row r="23" spans="2:47" ht="18" x14ac:dyDescent="0.2">
      <c r="B23" s="88" t="s">
        <v>177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6"/>
      <c r="I23" s="88" t="s">
        <v>177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6"/>
      <c r="Q23" s="88" t="s">
        <v>177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/>
      <c r="Y23" s="88" t="s">
        <v>177</v>
      </c>
      <c r="Z23" s="88">
        <v>0.1</v>
      </c>
      <c r="AA23" s="88">
        <v>7.0000000000000007E-2</v>
      </c>
      <c r="AB23" s="88">
        <v>0.08</v>
      </c>
      <c r="AC23" s="88">
        <v>0.14000000000000001</v>
      </c>
      <c r="AD23" s="88">
        <v>0.13</v>
      </c>
      <c r="AG23" s="88" t="s">
        <v>176</v>
      </c>
      <c r="AH23" s="88">
        <v>15.01</v>
      </c>
      <c r="AI23" s="88">
        <v>16.62</v>
      </c>
      <c r="AJ23" s="88">
        <v>18.760000000000002</v>
      </c>
      <c r="AK23" s="88">
        <v>18.41</v>
      </c>
      <c r="AL23" s="88">
        <v>18.07</v>
      </c>
      <c r="AM23" s="3"/>
      <c r="AO23" s="88" t="s">
        <v>176</v>
      </c>
      <c r="AP23" s="88">
        <v>16.47</v>
      </c>
      <c r="AQ23" s="88">
        <v>15.73</v>
      </c>
      <c r="AR23" s="88">
        <v>15.89</v>
      </c>
      <c r="AS23" s="88">
        <v>15.16</v>
      </c>
      <c r="AT23" s="88">
        <v>12.93</v>
      </c>
      <c r="AU23" s="88"/>
    </row>
    <row r="24" spans="2:47" ht="18" x14ac:dyDescent="0.2">
      <c r="B24" s="88" t="s">
        <v>178</v>
      </c>
      <c r="C24" s="88">
        <v>1.69</v>
      </c>
      <c r="D24" s="88">
        <v>1.68</v>
      </c>
      <c r="E24" s="88">
        <v>1.58</v>
      </c>
      <c r="F24" s="88">
        <v>1.39</v>
      </c>
      <c r="G24" s="88">
        <v>1.27</v>
      </c>
      <c r="H24" s="86"/>
      <c r="I24" s="88" t="s">
        <v>178</v>
      </c>
      <c r="J24" s="88">
        <v>1.1399999999999999</v>
      </c>
      <c r="K24" s="88">
        <v>1.19</v>
      </c>
      <c r="L24" s="88">
        <v>1.24</v>
      </c>
      <c r="M24" s="88">
        <v>1.08</v>
      </c>
      <c r="N24" s="88">
        <v>91.45</v>
      </c>
      <c r="O24" s="86"/>
      <c r="Q24" s="88" t="s">
        <v>178</v>
      </c>
      <c r="R24" s="88">
        <v>1.26</v>
      </c>
      <c r="S24" s="88">
        <v>1.19</v>
      </c>
      <c r="T24" s="88">
        <v>1.2</v>
      </c>
      <c r="U24" s="88">
        <v>1.02</v>
      </c>
      <c r="V24" s="88">
        <v>0.93</v>
      </c>
      <c r="W24" s="88"/>
      <c r="Y24" s="88" t="s">
        <v>178</v>
      </c>
      <c r="Z24" s="88">
        <v>0.77</v>
      </c>
      <c r="AA24" s="88">
        <v>0.8</v>
      </c>
      <c r="AB24" s="88">
        <v>0.82</v>
      </c>
      <c r="AC24" s="88">
        <v>0.82</v>
      </c>
      <c r="AD24" s="88">
        <v>0.77</v>
      </c>
      <c r="AG24" s="88" t="s">
        <v>177</v>
      </c>
      <c r="AH24" s="88">
        <v>0</v>
      </c>
      <c r="AI24" s="88">
        <v>0</v>
      </c>
      <c r="AJ24" s="88">
        <v>0.01</v>
      </c>
      <c r="AK24" s="88">
        <v>0.09</v>
      </c>
      <c r="AL24" s="88">
        <v>0.01</v>
      </c>
      <c r="AM24" s="3"/>
      <c r="AO24" s="88" t="s">
        <v>177</v>
      </c>
      <c r="AP24" s="88">
        <v>0.03</v>
      </c>
      <c r="AQ24" s="88">
        <v>0.03</v>
      </c>
      <c r="AR24" s="88">
        <v>0.03</v>
      </c>
      <c r="AS24" s="88">
        <v>0.06</v>
      </c>
      <c r="AT24" s="88">
        <v>0.06</v>
      </c>
      <c r="AU24" s="88"/>
    </row>
    <row r="25" spans="2:47" ht="18" x14ac:dyDescent="0.2">
      <c r="B25" s="87" t="s">
        <v>179</v>
      </c>
      <c r="C25" s="87"/>
      <c r="D25" s="87"/>
      <c r="E25" s="87"/>
      <c r="F25" s="87"/>
      <c r="G25" s="87"/>
      <c r="H25" s="85"/>
      <c r="I25" s="87" t="s">
        <v>179</v>
      </c>
      <c r="J25" s="87"/>
      <c r="K25" s="87"/>
      <c r="L25" s="87"/>
      <c r="M25" s="87"/>
      <c r="N25" s="87"/>
      <c r="O25" s="85"/>
      <c r="Q25" s="87" t="s">
        <v>179</v>
      </c>
      <c r="R25" s="87"/>
      <c r="S25" s="87"/>
      <c r="T25" s="87"/>
      <c r="U25" s="87"/>
      <c r="V25" s="87"/>
      <c r="W25" s="87"/>
      <c r="Y25" s="87" t="s">
        <v>179</v>
      </c>
      <c r="Z25" s="87"/>
      <c r="AA25" s="87"/>
      <c r="AB25" s="87"/>
      <c r="AC25" s="87"/>
      <c r="AD25" s="87"/>
      <c r="AG25" s="88" t="s">
        <v>178</v>
      </c>
      <c r="AH25" s="88">
        <v>1.31</v>
      </c>
      <c r="AI25" s="88">
        <v>1.39</v>
      </c>
      <c r="AJ25" s="88">
        <v>1.83</v>
      </c>
      <c r="AK25" s="88">
        <v>1.29</v>
      </c>
      <c r="AL25" s="88">
        <v>1.23</v>
      </c>
      <c r="AM25" s="3"/>
      <c r="AO25" s="88" t="s">
        <v>178</v>
      </c>
      <c r="AP25" s="88">
        <v>1.1399999999999999</v>
      </c>
      <c r="AQ25" s="88">
        <v>1.1399999999999999</v>
      </c>
      <c r="AR25" s="88">
        <v>0.65</v>
      </c>
      <c r="AS25" s="88">
        <v>0.57999999999999996</v>
      </c>
      <c r="AT25" s="88">
        <v>87.45</v>
      </c>
      <c r="AU25" s="88"/>
    </row>
    <row r="26" spans="2:47" ht="18" x14ac:dyDescent="0.2">
      <c r="B26" s="88" t="s">
        <v>180</v>
      </c>
      <c r="C26" s="88">
        <v>2.1</v>
      </c>
      <c r="D26" s="88">
        <v>2.2000000000000002</v>
      </c>
      <c r="E26" s="88">
        <v>2.36</v>
      </c>
      <c r="F26" s="88">
        <v>2.4900000000000002</v>
      </c>
      <c r="G26" s="88">
        <v>2.92</v>
      </c>
      <c r="H26" s="86"/>
      <c r="I26" s="88" t="s">
        <v>180</v>
      </c>
      <c r="J26" s="88">
        <v>2.4300000000000002</v>
      </c>
      <c r="K26" s="88">
        <v>2.62</v>
      </c>
      <c r="L26" s="88">
        <v>1.9</v>
      </c>
      <c r="M26" s="88">
        <v>2.1</v>
      </c>
      <c r="N26" s="88">
        <v>2.74</v>
      </c>
      <c r="O26" s="86"/>
      <c r="Q26" s="88" t="s">
        <v>180</v>
      </c>
      <c r="R26" s="88">
        <v>1.67</v>
      </c>
      <c r="S26" s="88">
        <v>1.9</v>
      </c>
      <c r="T26" s="88">
        <v>1.81</v>
      </c>
      <c r="U26" s="88">
        <v>2.56</v>
      </c>
      <c r="V26" s="88">
        <v>3.36</v>
      </c>
      <c r="W26" s="88"/>
      <c r="Y26" s="88" t="s">
        <v>180</v>
      </c>
      <c r="Z26" s="88">
        <v>2.68</v>
      </c>
      <c r="AA26" s="88">
        <v>2.74</v>
      </c>
      <c r="AB26" s="88">
        <v>2.86</v>
      </c>
      <c r="AC26" s="88">
        <v>2.23</v>
      </c>
      <c r="AD26" s="88">
        <v>2.5</v>
      </c>
      <c r="AG26" s="87" t="s">
        <v>179</v>
      </c>
      <c r="AH26" s="87"/>
      <c r="AI26" s="87"/>
      <c r="AJ26" s="87"/>
      <c r="AK26" s="87"/>
      <c r="AL26" s="87"/>
      <c r="AM26" s="2"/>
      <c r="AO26" s="87" t="s">
        <v>179</v>
      </c>
      <c r="AP26" s="87"/>
      <c r="AQ26" s="87"/>
      <c r="AR26" s="87"/>
      <c r="AS26" s="87"/>
      <c r="AT26" s="87"/>
      <c r="AU26" s="87"/>
    </row>
    <row r="27" spans="2:47" ht="18" x14ac:dyDescent="0.2">
      <c r="B27" s="88" t="s">
        <v>181</v>
      </c>
      <c r="C27" s="88">
        <v>2.1</v>
      </c>
      <c r="D27" s="88">
        <v>2.2000000000000002</v>
      </c>
      <c r="E27" s="88">
        <v>2.36</v>
      </c>
      <c r="F27" s="88">
        <v>2.48</v>
      </c>
      <c r="G27" s="88">
        <v>2.92</v>
      </c>
      <c r="H27" s="86"/>
      <c r="I27" s="88" t="s">
        <v>181</v>
      </c>
      <c r="J27" s="88">
        <v>2.4300000000000002</v>
      </c>
      <c r="K27" s="88">
        <v>2.62</v>
      </c>
      <c r="L27" s="88">
        <v>1.9</v>
      </c>
      <c r="M27" s="88">
        <v>2.1</v>
      </c>
      <c r="N27" s="88">
        <v>2.74</v>
      </c>
      <c r="O27" s="86"/>
      <c r="Q27" s="88" t="s">
        <v>181</v>
      </c>
      <c r="R27" s="88">
        <v>1.67</v>
      </c>
      <c r="S27" s="88">
        <v>1.9</v>
      </c>
      <c r="T27" s="88">
        <v>1.81</v>
      </c>
      <c r="U27" s="88">
        <v>2.56</v>
      </c>
      <c r="V27" s="88">
        <v>3.36</v>
      </c>
      <c r="W27" s="88"/>
      <c r="Y27" s="88" t="s">
        <v>181</v>
      </c>
      <c r="Z27" s="88">
        <v>2.68</v>
      </c>
      <c r="AA27" s="88">
        <v>2.74</v>
      </c>
      <c r="AB27" s="88">
        <v>2.86</v>
      </c>
      <c r="AC27" s="88">
        <v>2.23</v>
      </c>
      <c r="AD27" s="88">
        <v>2.5</v>
      </c>
      <c r="AG27" s="88" t="s">
        <v>180</v>
      </c>
      <c r="AH27" s="88">
        <v>3.51</v>
      </c>
      <c r="AI27" s="88">
        <v>3.28</v>
      </c>
      <c r="AJ27" s="88">
        <v>3.13</v>
      </c>
      <c r="AK27" s="88">
        <v>3.04</v>
      </c>
      <c r="AL27" s="88">
        <v>3.09</v>
      </c>
      <c r="AM27" s="3"/>
      <c r="AO27" s="88" t="s">
        <v>180</v>
      </c>
      <c r="AP27" s="88">
        <v>2.2200000000000002</v>
      </c>
      <c r="AQ27" s="88">
        <v>2.61</v>
      </c>
      <c r="AR27" s="88">
        <v>2.5</v>
      </c>
      <c r="AS27" s="88">
        <v>2.56</v>
      </c>
      <c r="AT27" s="88">
        <v>2.48</v>
      </c>
      <c r="AU27" s="88"/>
    </row>
    <row r="28" spans="2:47" ht="18" x14ac:dyDescent="0.2">
      <c r="B28" s="88" t="s">
        <v>182</v>
      </c>
      <c r="C28" s="89">
        <v>9142.68</v>
      </c>
      <c r="D28" s="88">
        <v>0</v>
      </c>
      <c r="E28" s="88">
        <v>0</v>
      </c>
      <c r="F28" s="88">
        <v>0</v>
      </c>
      <c r="G28" s="88">
        <v>0</v>
      </c>
      <c r="H28" s="86"/>
      <c r="I28" s="88" t="s">
        <v>182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6"/>
      <c r="Q28" s="88" t="s">
        <v>182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/>
      <c r="Y28" s="88" t="s">
        <v>182</v>
      </c>
      <c r="Z28" s="88">
        <v>996.19</v>
      </c>
      <c r="AA28" s="88">
        <v>813.55</v>
      </c>
      <c r="AB28" s="88">
        <v>0</v>
      </c>
      <c r="AC28" s="88">
        <v>0</v>
      </c>
      <c r="AD28" s="88">
        <v>0</v>
      </c>
      <c r="AG28" s="88" t="s">
        <v>181</v>
      </c>
      <c r="AH28" s="88">
        <v>3.51</v>
      </c>
      <c r="AI28" s="88">
        <v>3.28</v>
      </c>
      <c r="AJ28" s="88">
        <v>3.13</v>
      </c>
      <c r="AK28" s="88">
        <v>3.04</v>
      </c>
      <c r="AL28" s="88">
        <v>3.09</v>
      </c>
      <c r="AM28" s="3"/>
      <c r="AO28" s="88" t="s">
        <v>181</v>
      </c>
      <c r="AP28" s="88">
        <v>2.21</v>
      </c>
      <c r="AQ28" s="88">
        <v>2.6</v>
      </c>
      <c r="AR28" s="88">
        <v>2.4900000000000002</v>
      </c>
      <c r="AS28" s="88">
        <v>2.5499999999999998</v>
      </c>
      <c r="AT28" s="88">
        <v>2.4700000000000002</v>
      </c>
      <c r="AU28" s="88"/>
    </row>
    <row r="29" spans="2:47" ht="18" x14ac:dyDescent="0.2">
      <c r="B29" s="88" t="s">
        <v>183</v>
      </c>
      <c r="C29" s="88">
        <v>93.35</v>
      </c>
      <c r="D29" s="88">
        <v>57.7</v>
      </c>
      <c r="E29" s="88">
        <v>105.73</v>
      </c>
      <c r="F29" s="88">
        <v>34.869999999999997</v>
      </c>
      <c r="G29" s="88">
        <v>35.04</v>
      </c>
      <c r="H29" s="86"/>
      <c r="I29" s="88" t="s">
        <v>183</v>
      </c>
      <c r="J29" s="88">
        <v>79.569999999999993</v>
      </c>
      <c r="K29" s="88">
        <v>54.09</v>
      </c>
      <c r="L29" s="88">
        <v>58.77</v>
      </c>
      <c r="M29" s="88">
        <v>59.8</v>
      </c>
      <c r="N29" s="88">
        <v>50.74</v>
      </c>
      <c r="O29" s="86"/>
      <c r="Q29" s="88" t="s">
        <v>183</v>
      </c>
      <c r="R29" s="88">
        <v>119.97</v>
      </c>
      <c r="S29" s="88">
        <v>201.55</v>
      </c>
      <c r="T29" s="88">
        <v>123.63</v>
      </c>
      <c r="U29" s="88">
        <v>88.79</v>
      </c>
      <c r="V29" s="88">
        <v>45.61</v>
      </c>
      <c r="W29" s="88"/>
      <c r="Y29" s="88" t="s">
        <v>183</v>
      </c>
      <c r="Z29" s="88">
        <v>58.2</v>
      </c>
      <c r="AA29" s="88">
        <v>5.72</v>
      </c>
      <c r="AB29" s="88">
        <v>5.97</v>
      </c>
      <c r="AC29" s="88">
        <v>27.1</v>
      </c>
      <c r="AD29" s="88">
        <v>5.44</v>
      </c>
      <c r="AG29" s="88" t="s">
        <v>182</v>
      </c>
      <c r="AH29" s="89">
        <v>13106.24</v>
      </c>
      <c r="AI29" s="88">
        <v>0</v>
      </c>
      <c r="AJ29" s="88">
        <v>0</v>
      </c>
      <c r="AK29" s="88">
        <v>0</v>
      </c>
      <c r="AL29" s="88">
        <v>0</v>
      </c>
      <c r="AM29" s="3"/>
      <c r="AO29" s="88" t="s">
        <v>182</v>
      </c>
      <c r="AP29" s="88">
        <v>736.19</v>
      </c>
      <c r="AQ29" s="88">
        <v>0</v>
      </c>
      <c r="AR29" s="88">
        <v>0</v>
      </c>
      <c r="AS29" s="88">
        <v>0</v>
      </c>
      <c r="AT29" s="88">
        <v>801.9</v>
      </c>
      <c r="AU29" s="88"/>
    </row>
    <row r="30" spans="2:47" ht="18" x14ac:dyDescent="0.2">
      <c r="B30" s="88" t="s">
        <v>184</v>
      </c>
      <c r="C30" s="88">
        <v>85.81</v>
      </c>
      <c r="D30" s="88">
        <v>52.98</v>
      </c>
      <c r="E30" s="88">
        <v>96.05</v>
      </c>
      <c r="F30" s="88">
        <v>31.92</v>
      </c>
      <c r="G30" s="88">
        <v>31.89</v>
      </c>
      <c r="H30" s="86"/>
      <c r="I30" s="88" t="s">
        <v>184</v>
      </c>
      <c r="J30" s="88">
        <v>72.17</v>
      </c>
      <c r="K30" s="88">
        <v>48.82</v>
      </c>
      <c r="L30" s="88">
        <v>52.55</v>
      </c>
      <c r="M30" s="88">
        <v>53.66</v>
      </c>
      <c r="N30" s="88">
        <v>44.96</v>
      </c>
      <c r="O30" s="86"/>
      <c r="Q30" s="88" t="s">
        <v>184</v>
      </c>
      <c r="R30" s="88">
        <v>96.45</v>
      </c>
      <c r="S30" s="88">
        <v>145.75</v>
      </c>
      <c r="T30" s="88">
        <v>101.74</v>
      </c>
      <c r="U30" s="88">
        <v>78.27</v>
      </c>
      <c r="V30" s="88">
        <v>39.44</v>
      </c>
      <c r="W30" s="88"/>
      <c r="Y30" s="88" t="s">
        <v>184</v>
      </c>
      <c r="Z30" s="88">
        <v>51.32</v>
      </c>
      <c r="AA30" s="88">
        <v>4.92</v>
      </c>
      <c r="AB30" s="88">
        <v>5.09</v>
      </c>
      <c r="AC30" s="88">
        <v>24.14</v>
      </c>
      <c r="AD30" s="88">
        <v>4.8</v>
      </c>
      <c r="AG30" s="88" t="s">
        <v>183</v>
      </c>
      <c r="AH30" s="88">
        <v>41.85</v>
      </c>
      <c r="AI30" s="88">
        <v>38.74</v>
      </c>
      <c r="AJ30" s="88">
        <v>35.44</v>
      </c>
      <c r="AK30" s="88">
        <v>38.090000000000003</v>
      </c>
      <c r="AL30" s="88">
        <v>27.49</v>
      </c>
      <c r="AM30" s="3"/>
      <c r="AO30" s="88" t="s">
        <v>183</v>
      </c>
      <c r="AP30" s="88">
        <v>93.46</v>
      </c>
      <c r="AQ30" s="88">
        <v>89.67</v>
      </c>
      <c r="AR30" s="88">
        <v>87.5</v>
      </c>
      <c r="AS30" s="88">
        <v>84.38</v>
      </c>
      <c r="AT30" s="88">
        <v>29.22</v>
      </c>
      <c r="AU30" s="88"/>
    </row>
    <row r="31" spans="2:47" ht="18" x14ac:dyDescent="0.2">
      <c r="B31" s="88" t="s">
        <v>185</v>
      </c>
      <c r="C31" s="88">
        <v>6.65</v>
      </c>
      <c r="D31" s="88">
        <v>42.3</v>
      </c>
      <c r="E31" s="88">
        <v>-5.73</v>
      </c>
      <c r="F31" s="88">
        <v>65.13</v>
      </c>
      <c r="G31" s="88">
        <v>64.959999999999994</v>
      </c>
      <c r="H31" s="86"/>
      <c r="I31" s="88" t="s">
        <v>185</v>
      </c>
      <c r="J31" s="88">
        <v>20.43</v>
      </c>
      <c r="K31" s="88">
        <v>45.91</v>
      </c>
      <c r="L31" s="88">
        <v>41.23</v>
      </c>
      <c r="M31" s="88">
        <v>40.200000000000003</v>
      </c>
      <c r="N31" s="88">
        <v>49.26</v>
      </c>
      <c r="O31" s="86"/>
      <c r="Q31" s="88" t="s">
        <v>185</v>
      </c>
      <c r="R31" s="88">
        <v>-19.97</v>
      </c>
      <c r="S31" s="88">
        <v>-101.55</v>
      </c>
      <c r="T31" s="88">
        <v>-23.63</v>
      </c>
      <c r="U31" s="88">
        <v>11.21</v>
      </c>
      <c r="V31" s="88">
        <v>54.39</v>
      </c>
      <c r="W31" s="88"/>
      <c r="Y31" s="88" t="s">
        <v>185</v>
      </c>
      <c r="Z31" s="88">
        <v>41.8</v>
      </c>
      <c r="AA31" s="88">
        <v>94.28</v>
      </c>
      <c r="AB31" s="88">
        <v>94.03</v>
      </c>
      <c r="AC31" s="88">
        <v>72.900000000000006</v>
      </c>
      <c r="AD31" s="88">
        <v>94.56</v>
      </c>
      <c r="AG31" s="88" t="s">
        <v>184</v>
      </c>
      <c r="AH31" s="88">
        <v>34.42</v>
      </c>
      <c r="AI31" s="88">
        <v>32.86</v>
      </c>
      <c r="AJ31" s="88">
        <v>30.45</v>
      </c>
      <c r="AK31" s="88">
        <v>32.99</v>
      </c>
      <c r="AL31" s="88">
        <v>23.46</v>
      </c>
      <c r="AM31" s="3"/>
      <c r="AO31" s="88" t="s">
        <v>184</v>
      </c>
      <c r="AP31" s="88">
        <v>75.69</v>
      </c>
      <c r="AQ31" s="88">
        <v>70.84</v>
      </c>
      <c r="AR31" s="88">
        <v>68.400000000000006</v>
      </c>
      <c r="AS31" s="88">
        <v>63.9</v>
      </c>
      <c r="AT31" s="88">
        <v>20.67</v>
      </c>
      <c r="AU31" s="88"/>
    </row>
    <row r="32" spans="2:47" ht="18" x14ac:dyDescent="0.2">
      <c r="B32" s="88" t="s">
        <v>186</v>
      </c>
      <c r="C32" s="88">
        <v>14.19</v>
      </c>
      <c r="D32" s="88">
        <v>47.02</v>
      </c>
      <c r="E32" s="88">
        <v>3.95</v>
      </c>
      <c r="F32" s="88">
        <v>68.08</v>
      </c>
      <c r="G32" s="88">
        <v>68.11</v>
      </c>
      <c r="H32" s="86"/>
      <c r="I32" s="88" t="s">
        <v>186</v>
      </c>
      <c r="J32" s="88">
        <v>27.83</v>
      </c>
      <c r="K32" s="88">
        <v>51.18</v>
      </c>
      <c r="L32" s="88">
        <v>47.45</v>
      </c>
      <c r="M32" s="88">
        <v>46.34</v>
      </c>
      <c r="N32" s="88">
        <v>55.04</v>
      </c>
      <c r="O32" s="86"/>
      <c r="Q32" s="88" t="s">
        <v>186</v>
      </c>
      <c r="R32" s="88">
        <v>3.55</v>
      </c>
      <c r="S32" s="88">
        <v>-45.75</v>
      </c>
      <c r="T32" s="88">
        <v>-1.74</v>
      </c>
      <c r="U32" s="88">
        <v>21.73</v>
      </c>
      <c r="V32" s="88">
        <v>60.56</v>
      </c>
      <c r="W32" s="88"/>
      <c r="Y32" s="88" t="s">
        <v>186</v>
      </c>
      <c r="Z32" s="88">
        <v>48.68</v>
      </c>
      <c r="AA32" s="88">
        <v>95.08</v>
      </c>
      <c r="AB32" s="88">
        <v>94.91</v>
      </c>
      <c r="AC32" s="88">
        <v>75.86</v>
      </c>
      <c r="AD32" s="88">
        <v>95.2</v>
      </c>
      <c r="AG32" s="88" t="s">
        <v>185</v>
      </c>
      <c r="AH32" s="88">
        <v>58.15</v>
      </c>
      <c r="AI32" s="88">
        <v>61.26</v>
      </c>
      <c r="AJ32" s="88">
        <v>64.56</v>
      </c>
      <c r="AK32" s="88">
        <v>61.91</v>
      </c>
      <c r="AL32" s="88">
        <v>72.510000000000005</v>
      </c>
      <c r="AM32" s="3"/>
      <c r="AO32" s="88" t="s">
        <v>185</v>
      </c>
      <c r="AP32" s="88">
        <v>6.54</v>
      </c>
      <c r="AQ32" s="88">
        <v>10.33</v>
      </c>
      <c r="AR32" s="88">
        <v>12.5</v>
      </c>
      <c r="AS32" s="88">
        <v>15.62</v>
      </c>
      <c r="AT32" s="88">
        <v>70.78</v>
      </c>
      <c r="AU32" s="88"/>
    </row>
    <row r="33" spans="2:47" ht="18" x14ac:dyDescent="0.2">
      <c r="B33" s="87" t="s">
        <v>187</v>
      </c>
      <c r="C33" s="87"/>
      <c r="D33" s="87"/>
      <c r="E33" s="87"/>
      <c r="F33" s="87"/>
      <c r="G33" s="87"/>
      <c r="H33" s="85"/>
      <c r="I33" s="87" t="s">
        <v>187</v>
      </c>
      <c r="J33" s="87"/>
      <c r="K33" s="87"/>
      <c r="L33" s="87"/>
      <c r="M33" s="87"/>
      <c r="N33" s="87"/>
      <c r="O33" s="85"/>
      <c r="Q33" s="87" t="s">
        <v>187</v>
      </c>
      <c r="R33" s="87"/>
      <c r="S33" s="87"/>
      <c r="T33" s="87"/>
      <c r="U33" s="87"/>
      <c r="V33" s="87"/>
      <c r="W33" s="87"/>
      <c r="Y33" s="87" t="s">
        <v>187</v>
      </c>
      <c r="Z33" s="87"/>
      <c r="AA33" s="87"/>
      <c r="AB33" s="87"/>
      <c r="AC33" s="87"/>
      <c r="AD33" s="87"/>
      <c r="AG33" s="88" t="s">
        <v>186</v>
      </c>
      <c r="AH33" s="88">
        <v>65.58</v>
      </c>
      <c r="AI33" s="88">
        <v>67.14</v>
      </c>
      <c r="AJ33" s="88">
        <v>69.55</v>
      </c>
      <c r="AK33" s="88">
        <v>67.010000000000005</v>
      </c>
      <c r="AL33" s="88">
        <v>76.540000000000006</v>
      </c>
      <c r="AM33" s="3"/>
      <c r="AO33" s="88" t="s">
        <v>186</v>
      </c>
      <c r="AP33" s="88">
        <v>24.31</v>
      </c>
      <c r="AQ33" s="88">
        <v>29.16</v>
      </c>
      <c r="AR33" s="88">
        <v>31.6</v>
      </c>
      <c r="AS33" s="88">
        <v>36.1</v>
      </c>
      <c r="AT33" s="88">
        <v>79.33</v>
      </c>
      <c r="AU33" s="88"/>
    </row>
    <row r="34" spans="2:47" ht="18" x14ac:dyDescent="0.2">
      <c r="B34" s="88" t="s">
        <v>188</v>
      </c>
      <c r="C34" s="89">
        <v>1297658.8999999999</v>
      </c>
      <c r="D34" s="89">
        <v>1399246.1</v>
      </c>
      <c r="E34" s="89">
        <v>1168779.8</v>
      </c>
      <c r="F34" s="89">
        <v>1354708.8</v>
      </c>
      <c r="G34" s="89">
        <v>1172570</v>
      </c>
      <c r="H34" s="86"/>
      <c r="I34" s="88" t="s">
        <v>188</v>
      </c>
      <c r="J34" s="89">
        <v>637765.07999999996</v>
      </c>
      <c r="K34" s="89">
        <v>613811</v>
      </c>
      <c r="L34" s="89">
        <v>585675.96</v>
      </c>
      <c r="M34" s="89">
        <v>789898.32</v>
      </c>
      <c r="N34" s="89">
        <v>565049.5</v>
      </c>
      <c r="O34" s="86"/>
      <c r="Q34" s="88" t="s">
        <v>188</v>
      </c>
      <c r="R34" s="89">
        <v>137144.70000000001</v>
      </c>
      <c r="S34" s="89">
        <v>120617.27</v>
      </c>
      <c r="T34" s="89">
        <v>106138.43</v>
      </c>
      <c r="U34" s="89">
        <v>144395.17000000001</v>
      </c>
      <c r="V34" s="89">
        <v>94922.73</v>
      </c>
      <c r="W34" s="88"/>
      <c r="Y34" s="88" t="s">
        <v>188</v>
      </c>
      <c r="Z34" s="89">
        <v>276213.71999999997</v>
      </c>
      <c r="AA34" s="89">
        <v>251210.53</v>
      </c>
      <c r="AB34" s="89">
        <v>201130.34</v>
      </c>
      <c r="AC34" s="89">
        <v>327315.40000000002</v>
      </c>
      <c r="AD34" s="89">
        <v>222962.28</v>
      </c>
      <c r="AG34" s="87" t="s">
        <v>280</v>
      </c>
      <c r="AH34" s="87"/>
      <c r="AI34" s="87"/>
      <c r="AJ34" s="87"/>
      <c r="AK34" s="87"/>
      <c r="AL34" s="87"/>
      <c r="AM34" s="2"/>
      <c r="AO34" s="87" t="s">
        <v>280</v>
      </c>
      <c r="AP34" s="87"/>
      <c r="AQ34" s="87"/>
      <c r="AR34" s="87"/>
      <c r="AS34" s="87"/>
      <c r="AT34" s="87"/>
      <c r="AU34" s="87"/>
    </row>
    <row r="35" spans="2:47" ht="18" x14ac:dyDescent="0.2">
      <c r="B35" s="88" t="s">
        <v>189</v>
      </c>
      <c r="C35" s="88">
        <v>6.04</v>
      </c>
      <c r="D35" s="88">
        <v>6.91</v>
      </c>
      <c r="E35" s="88">
        <v>6.14</v>
      </c>
      <c r="F35" s="88">
        <v>8.4499999999999993</v>
      </c>
      <c r="G35" s="88">
        <v>8.6199999999999992</v>
      </c>
      <c r="H35" s="86"/>
      <c r="I35" s="88" t="s">
        <v>189</v>
      </c>
      <c r="J35" s="88">
        <v>4.67</v>
      </c>
      <c r="K35" s="88">
        <v>4.76</v>
      </c>
      <c r="L35" s="88">
        <v>4.72</v>
      </c>
      <c r="M35" s="88">
        <v>7.6</v>
      </c>
      <c r="N35" s="88">
        <v>6.58</v>
      </c>
      <c r="O35" s="86"/>
      <c r="Q35" s="88" t="s">
        <v>189</v>
      </c>
      <c r="R35" s="88">
        <v>3.07</v>
      </c>
      <c r="S35" s="88">
        <v>2.87</v>
      </c>
      <c r="T35" s="88">
        <v>2.4900000000000002</v>
      </c>
      <c r="U35" s="88">
        <v>4.16</v>
      </c>
      <c r="V35" s="88">
        <v>3.2</v>
      </c>
      <c r="W35" s="88"/>
      <c r="Y35" s="88" t="s">
        <v>189</v>
      </c>
      <c r="Z35" s="88">
        <v>4.0999999999999996</v>
      </c>
      <c r="AA35" s="88">
        <v>3.76</v>
      </c>
      <c r="AB35" s="88">
        <v>2.97</v>
      </c>
      <c r="AC35" s="88">
        <v>5.49</v>
      </c>
      <c r="AD35" s="88">
        <v>4.43</v>
      </c>
      <c r="AG35" s="88" t="s">
        <v>281</v>
      </c>
      <c r="AH35" s="88">
        <v>26.84</v>
      </c>
      <c r="AI35" s="88">
        <v>31.98</v>
      </c>
      <c r="AJ35" s="88">
        <v>44.31</v>
      </c>
      <c r="AK35" s="88">
        <v>48.42</v>
      </c>
      <c r="AL35" s="88">
        <v>38.06</v>
      </c>
      <c r="AM35" s="3"/>
      <c r="AO35" s="88" t="s">
        <v>281</v>
      </c>
      <c r="AP35" s="88">
        <v>43.46</v>
      </c>
      <c r="AQ35" s="88">
        <v>46.46</v>
      </c>
      <c r="AR35" s="88">
        <v>67.95</v>
      </c>
      <c r="AS35" s="88">
        <v>67.7</v>
      </c>
      <c r="AT35" s="88">
        <v>32.020000000000003</v>
      </c>
      <c r="AU35" s="88"/>
    </row>
    <row r="36" spans="2:47" ht="18" x14ac:dyDescent="0.2">
      <c r="B36" s="88" t="s">
        <v>190</v>
      </c>
      <c r="C36" s="88">
        <v>19.2</v>
      </c>
      <c r="D36" s="88">
        <v>22.17</v>
      </c>
      <c r="E36" s="88">
        <v>20.75</v>
      </c>
      <c r="F36" s="88">
        <v>25.21</v>
      </c>
      <c r="G36" s="88">
        <v>25.65</v>
      </c>
      <c r="H36" s="86"/>
      <c r="I36" s="88" t="s">
        <v>190</v>
      </c>
      <c r="J36" s="88">
        <v>16.66</v>
      </c>
      <c r="K36" s="88">
        <v>15.67</v>
      </c>
      <c r="L36" s="88">
        <v>16.95</v>
      </c>
      <c r="M36" s="88">
        <v>25.44</v>
      </c>
      <c r="N36" s="88">
        <v>20.99</v>
      </c>
      <c r="O36" s="86"/>
      <c r="Q36" s="88" t="s">
        <v>190</v>
      </c>
      <c r="R36" s="88">
        <v>24.53</v>
      </c>
      <c r="S36" s="88">
        <v>33.26</v>
      </c>
      <c r="T36" s="88">
        <v>18</v>
      </c>
      <c r="U36" s="88">
        <v>20.6</v>
      </c>
      <c r="V36" s="88">
        <v>15.18</v>
      </c>
      <c r="W36" s="88"/>
      <c r="Y36" s="88" t="s">
        <v>190</v>
      </c>
      <c r="Z36" s="88">
        <v>16.38</v>
      </c>
      <c r="AA36" s="88">
        <v>17.059999999999999</v>
      </c>
      <c r="AB36" s="88">
        <v>13.88</v>
      </c>
      <c r="AC36" s="88">
        <v>19.12</v>
      </c>
      <c r="AD36" s="88">
        <v>15.44</v>
      </c>
      <c r="AG36" s="88" t="s">
        <v>282</v>
      </c>
      <c r="AH36" s="88">
        <v>26.84</v>
      </c>
      <c r="AI36" s="88">
        <v>31.98</v>
      </c>
      <c r="AJ36" s="88">
        <v>44.31</v>
      </c>
      <c r="AK36" s="88">
        <v>48.42</v>
      </c>
      <c r="AL36" s="88">
        <v>38.06</v>
      </c>
      <c r="AM36" s="3"/>
      <c r="AO36" s="88" t="s">
        <v>282</v>
      </c>
      <c r="AP36" s="88">
        <v>43.46</v>
      </c>
      <c r="AQ36" s="88">
        <v>46.46</v>
      </c>
      <c r="AR36" s="88">
        <v>67.95</v>
      </c>
      <c r="AS36" s="88">
        <v>67.7</v>
      </c>
      <c r="AT36" s="88">
        <v>32.020000000000003</v>
      </c>
      <c r="AU36" s="88"/>
    </row>
    <row r="37" spans="2:47" ht="18" x14ac:dyDescent="0.2">
      <c r="B37" s="88" t="s">
        <v>191</v>
      </c>
      <c r="C37" s="88">
        <v>6.07</v>
      </c>
      <c r="D37" s="88">
        <v>6.95</v>
      </c>
      <c r="E37" s="88">
        <v>6.16</v>
      </c>
      <c r="F37" s="88">
        <v>8.5299999999999994</v>
      </c>
      <c r="G37" s="88">
        <v>8.65</v>
      </c>
      <c r="H37" s="86"/>
      <c r="I37" s="88" t="s">
        <v>191</v>
      </c>
      <c r="J37" s="88">
        <v>4.7699999999999996</v>
      </c>
      <c r="K37" s="88">
        <v>4.82</v>
      </c>
      <c r="L37" s="88">
        <v>4.78</v>
      </c>
      <c r="M37" s="88">
        <v>7.72</v>
      </c>
      <c r="N37" s="88">
        <v>6.78</v>
      </c>
      <c r="O37" s="86"/>
      <c r="Q37" s="88" t="s">
        <v>191</v>
      </c>
      <c r="R37" s="88">
        <v>3.11</v>
      </c>
      <c r="S37" s="88">
        <v>2.9</v>
      </c>
      <c r="T37" s="88">
        <v>2.52</v>
      </c>
      <c r="U37" s="88">
        <v>4.2</v>
      </c>
      <c r="V37" s="88">
        <v>3.24</v>
      </c>
      <c r="W37" s="88"/>
      <c r="Y37" s="88" t="s">
        <v>191</v>
      </c>
      <c r="Z37" s="88">
        <v>4.08</v>
      </c>
      <c r="AA37" s="88">
        <v>3.76</v>
      </c>
      <c r="AB37" s="88">
        <v>2.96</v>
      </c>
      <c r="AC37" s="88">
        <v>5.45</v>
      </c>
      <c r="AD37" s="88">
        <v>4.51</v>
      </c>
      <c r="AG37" s="87" t="s">
        <v>187</v>
      </c>
      <c r="AH37" s="87"/>
      <c r="AI37" s="87"/>
      <c r="AJ37" s="87"/>
      <c r="AK37" s="87"/>
      <c r="AL37" s="87"/>
      <c r="AM37" s="2"/>
      <c r="AO37" s="87" t="s">
        <v>187</v>
      </c>
      <c r="AP37" s="87"/>
      <c r="AQ37" s="87"/>
      <c r="AR37" s="87"/>
      <c r="AS37" s="87"/>
      <c r="AT37" s="87"/>
      <c r="AU37" s="87"/>
    </row>
    <row r="38" spans="2:47" ht="18" x14ac:dyDescent="0.2">
      <c r="B38" s="88" t="s">
        <v>192</v>
      </c>
      <c r="C38" s="88">
        <v>6.64</v>
      </c>
      <c r="D38" s="88">
        <v>42.29</v>
      </c>
      <c r="E38" s="88">
        <v>-5.73</v>
      </c>
      <c r="F38" s="88">
        <v>65.12</v>
      </c>
      <c r="G38" s="88">
        <v>64.95</v>
      </c>
      <c r="H38" s="86"/>
      <c r="I38" s="88" t="s">
        <v>192</v>
      </c>
      <c r="J38" s="88">
        <v>20.420000000000002</v>
      </c>
      <c r="K38" s="88">
        <v>45.9</v>
      </c>
      <c r="L38" s="88">
        <v>41.22</v>
      </c>
      <c r="M38" s="88">
        <v>40.19</v>
      </c>
      <c r="N38" s="88">
        <v>49.25</v>
      </c>
      <c r="O38" s="86"/>
      <c r="Q38" s="88" t="s">
        <v>192</v>
      </c>
      <c r="R38" s="88">
        <v>-19.97</v>
      </c>
      <c r="S38" s="88">
        <v>-101.55</v>
      </c>
      <c r="T38" s="88">
        <v>-23.63</v>
      </c>
      <c r="U38" s="88">
        <v>11.2</v>
      </c>
      <c r="V38" s="88">
        <v>54.38</v>
      </c>
      <c r="W38" s="88"/>
      <c r="Y38" s="88" t="s">
        <v>192</v>
      </c>
      <c r="Z38" s="88">
        <v>41.79</v>
      </c>
      <c r="AA38" s="88">
        <v>94.27</v>
      </c>
      <c r="AB38" s="88">
        <v>94.02</v>
      </c>
      <c r="AC38" s="88">
        <v>72.89</v>
      </c>
      <c r="AD38" s="88">
        <v>94.55</v>
      </c>
      <c r="AG38" s="88" t="s">
        <v>188</v>
      </c>
      <c r="AH38" s="89">
        <v>129402.34</v>
      </c>
      <c r="AI38" s="89">
        <v>143343.94</v>
      </c>
      <c r="AJ38" s="89">
        <v>138037.20000000001</v>
      </c>
      <c r="AK38" s="89">
        <v>107811.4</v>
      </c>
      <c r="AL38" s="89">
        <v>70125.7</v>
      </c>
      <c r="AM38" s="3"/>
      <c r="AO38" s="88" t="s">
        <v>188</v>
      </c>
      <c r="AP38" s="89">
        <v>412962.93</v>
      </c>
      <c r="AQ38" s="89">
        <v>401190.95</v>
      </c>
      <c r="AR38" s="89">
        <v>282423.3</v>
      </c>
      <c r="AS38" s="89">
        <v>307290.53000000003</v>
      </c>
      <c r="AT38" s="89">
        <v>262115.68</v>
      </c>
      <c r="AU38" s="88"/>
    </row>
    <row r="39" spans="2:47" ht="18" x14ac:dyDescent="0.2">
      <c r="B39" s="88" t="s">
        <v>193</v>
      </c>
      <c r="C39" s="88">
        <v>17.260000000000002</v>
      </c>
      <c r="D39" s="88">
        <v>19.489999999999998</v>
      </c>
      <c r="E39" s="88">
        <v>15.74</v>
      </c>
      <c r="F39" s="88">
        <v>17.73</v>
      </c>
      <c r="G39" s="88">
        <v>15.72</v>
      </c>
      <c r="H39" s="86"/>
      <c r="I39" s="88" t="s">
        <v>193</v>
      </c>
      <c r="J39" s="88">
        <v>7.47</v>
      </c>
      <c r="K39" s="88">
        <v>7.66</v>
      </c>
      <c r="L39" s="88">
        <v>8.74</v>
      </c>
      <c r="M39" s="88">
        <v>11.57</v>
      </c>
      <c r="N39" s="88">
        <v>8.15</v>
      </c>
      <c r="O39" s="86"/>
      <c r="Q39" s="88" t="s">
        <v>193</v>
      </c>
      <c r="R39" s="88">
        <v>6.19</v>
      </c>
      <c r="S39" s="88">
        <v>5.27</v>
      </c>
      <c r="T39" s="88">
        <v>4.32</v>
      </c>
      <c r="U39" s="88">
        <v>5.64</v>
      </c>
      <c r="V39" s="88">
        <v>3.84</v>
      </c>
      <c r="W39" s="88"/>
      <c r="Y39" s="88" t="s">
        <v>193</v>
      </c>
      <c r="Z39" s="88">
        <v>4.3600000000000003</v>
      </c>
      <c r="AA39" s="88">
        <v>4.34</v>
      </c>
      <c r="AB39" s="88">
        <v>3.19</v>
      </c>
      <c r="AC39" s="88">
        <v>5.97</v>
      </c>
      <c r="AD39" s="88">
        <v>5.0199999999999996</v>
      </c>
      <c r="AG39" s="88" t="s">
        <v>189</v>
      </c>
      <c r="AH39" s="88">
        <v>3.4</v>
      </c>
      <c r="AI39" s="88">
        <v>4.04</v>
      </c>
      <c r="AJ39" s="88">
        <v>4.16</v>
      </c>
      <c r="AK39" s="88">
        <v>6.88</v>
      </c>
      <c r="AL39" s="88">
        <v>5.67</v>
      </c>
      <c r="AM39" s="3"/>
      <c r="AO39" s="88" t="s">
        <v>189</v>
      </c>
      <c r="AP39" s="88">
        <v>3.53</v>
      </c>
      <c r="AQ39" s="88">
        <v>3.65</v>
      </c>
      <c r="AR39" s="88">
        <v>2.78</v>
      </c>
      <c r="AS39" s="88">
        <v>3.59</v>
      </c>
      <c r="AT39" s="88">
        <v>3.48</v>
      </c>
      <c r="AU39" s="88"/>
    </row>
    <row r="40" spans="2:47" ht="18" x14ac:dyDescent="0.2">
      <c r="B40" s="88" t="s">
        <v>194</v>
      </c>
      <c r="C40" s="88">
        <v>6.07</v>
      </c>
      <c r="D40" s="88">
        <v>6.95</v>
      </c>
      <c r="E40" s="88">
        <v>6.16</v>
      </c>
      <c r="F40" s="88">
        <v>8.5299999999999994</v>
      </c>
      <c r="G40" s="88">
        <v>8.65</v>
      </c>
      <c r="H40" s="86"/>
      <c r="I40" s="88" t="s">
        <v>194</v>
      </c>
      <c r="J40" s="88">
        <v>4.7699999999999996</v>
      </c>
      <c r="K40" s="88">
        <v>4.82</v>
      </c>
      <c r="L40" s="88">
        <v>4.78</v>
      </c>
      <c r="M40" s="88">
        <v>7.72</v>
      </c>
      <c r="N40" s="88">
        <v>6.78</v>
      </c>
      <c r="O40" s="86"/>
      <c r="Q40" s="88" t="s">
        <v>194</v>
      </c>
      <c r="R40" s="88">
        <v>3.11</v>
      </c>
      <c r="S40" s="88">
        <v>2.9</v>
      </c>
      <c r="T40" s="88">
        <v>2.52</v>
      </c>
      <c r="U40" s="88">
        <v>4.2</v>
      </c>
      <c r="V40" s="88">
        <v>3.24</v>
      </c>
      <c r="W40" s="88"/>
      <c r="Y40" s="88" t="s">
        <v>194</v>
      </c>
      <c r="Z40" s="88">
        <v>4.08</v>
      </c>
      <c r="AA40" s="88">
        <v>3.76</v>
      </c>
      <c r="AB40" s="88">
        <v>2.96</v>
      </c>
      <c r="AC40" s="88">
        <v>5.45</v>
      </c>
      <c r="AD40" s="88">
        <v>4.51</v>
      </c>
      <c r="AG40" s="88" t="s">
        <v>190</v>
      </c>
      <c r="AH40" s="88">
        <v>17.29</v>
      </c>
      <c r="AI40" s="88">
        <v>20.22</v>
      </c>
      <c r="AJ40" s="88">
        <v>20.71</v>
      </c>
      <c r="AK40" s="88">
        <v>30.58</v>
      </c>
      <c r="AL40" s="88">
        <v>23.38</v>
      </c>
      <c r="AM40" s="3"/>
      <c r="AO40" s="88" t="s">
        <v>190</v>
      </c>
      <c r="AP40" s="88">
        <v>14.75</v>
      </c>
      <c r="AQ40" s="88">
        <v>15.61</v>
      </c>
      <c r="AR40" s="88">
        <v>11.77</v>
      </c>
      <c r="AS40" s="88">
        <v>14.23</v>
      </c>
      <c r="AT40" s="88">
        <v>12.5</v>
      </c>
      <c r="AU40" s="88"/>
    </row>
    <row r="41" spans="2:47" x14ac:dyDescent="0.2">
      <c r="B41" s="88" t="s">
        <v>195</v>
      </c>
      <c r="C41" s="88">
        <v>0.04</v>
      </c>
      <c r="D41" s="88">
        <v>0.03</v>
      </c>
      <c r="E41" s="88">
        <v>0.03</v>
      </c>
      <c r="F41" s="88">
        <v>0.03</v>
      </c>
      <c r="G41" s="88">
        <v>0.03</v>
      </c>
      <c r="I41" s="88" t="s">
        <v>195</v>
      </c>
      <c r="J41" s="88">
        <v>0.04</v>
      </c>
      <c r="K41" s="88">
        <v>0.04</v>
      </c>
      <c r="L41" s="88">
        <v>0.04</v>
      </c>
      <c r="M41" s="88">
        <v>0.03</v>
      </c>
      <c r="N41" s="88">
        <v>0.03</v>
      </c>
      <c r="Q41" s="88" t="s">
        <v>195</v>
      </c>
      <c r="R41" s="88">
        <v>0.03</v>
      </c>
      <c r="S41" s="88">
        <v>0.02</v>
      </c>
      <c r="T41" s="88">
        <v>0.04</v>
      </c>
      <c r="U41" s="88">
        <v>0.03</v>
      </c>
      <c r="V41" s="88">
        <v>0.04</v>
      </c>
      <c r="Y41" s="88" t="s">
        <v>195</v>
      </c>
      <c r="Z41" s="88">
        <v>0.04</v>
      </c>
      <c r="AA41" s="88">
        <v>0.04</v>
      </c>
      <c r="AB41" s="88">
        <v>0.05</v>
      </c>
      <c r="AC41" s="88">
        <v>0.04</v>
      </c>
      <c r="AD41" s="88">
        <v>0.04</v>
      </c>
      <c r="AG41" s="88" t="s">
        <v>191</v>
      </c>
      <c r="AH41" s="88">
        <v>3.5</v>
      </c>
      <c r="AI41" s="88">
        <v>4.1100000000000003</v>
      </c>
      <c r="AJ41" s="88">
        <v>4.24</v>
      </c>
      <c r="AK41" s="88">
        <v>6.88</v>
      </c>
      <c r="AL41" s="88">
        <v>5.73</v>
      </c>
      <c r="AM41" s="3"/>
      <c r="AO41" s="88" t="s">
        <v>191</v>
      </c>
      <c r="AP41" s="88">
        <v>3.69</v>
      </c>
      <c r="AQ41" s="88">
        <v>3.81</v>
      </c>
      <c r="AR41" s="88">
        <v>2.91</v>
      </c>
      <c r="AS41" s="88">
        <v>3.69</v>
      </c>
      <c r="AT41" s="88">
        <v>3.54</v>
      </c>
      <c r="AU41" s="88"/>
    </row>
    <row r="42" spans="2:47" x14ac:dyDescent="0.2">
      <c r="B42" t="e">
        <f>'Comparable Company Analysis'!#REF!</f>
        <v>#REF!</v>
      </c>
      <c r="C42">
        <f>'Comparable Company Analysis'!D7</f>
        <v>18.32417375592863</v>
      </c>
      <c r="D42">
        <f>'Comparable Company Analysis'!E7</f>
        <v>20.571938941214679</v>
      </c>
      <c r="E42">
        <f>'Comparable Company Analysis'!F7</f>
        <v>18.917635658914726</v>
      </c>
      <c r="F42">
        <f>'Comparable Company Analysis'!G7</f>
        <v>40.049468977082171</v>
      </c>
      <c r="G42">
        <f>'Comparable Company Analysis'!H7</f>
        <v>29.786740331491711</v>
      </c>
      <c r="AG42" s="88" t="s">
        <v>192</v>
      </c>
      <c r="AH42" s="88">
        <v>58.14</v>
      </c>
      <c r="AI42" s="88">
        <v>61.25</v>
      </c>
      <c r="AJ42" s="88">
        <v>64.55</v>
      </c>
      <c r="AK42" s="88">
        <v>61.9</v>
      </c>
      <c r="AL42" s="88">
        <v>72.5</v>
      </c>
      <c r="AM42" s="3"/>
      <c r="AO42" s="88" t="s">
        <v>192</v>
      </c>
      <c r="AP42" s="88">
        <v>6.53</v>
      </c>
      <c r="AQ42" s="88">
        <v>10.32</v>
      </c>
      <c r="AR42" s="88">
        <v>12.49</v>
      </c>
      <c r="AS42" s="88">
        <v>15.61</v>
      </c>
      <c r="AT42" s="88">
        <v>70.77</v>
      </c>
      <c r="AU42" s="88"/>
    </row>
    <row r="43" spans="2:47" x14ac:dyDescent="0.2">
      <c r="AG43" s="88" t="s">
        <v>193</v>
      </c>
      <c r="AH43" s="88">
        <v>5.86</v>
      </c>
      <c r="AI43" s="88">
        <v>7.3</v>
      </c>
      <c r="AJ43" s="88">
        <v>8.49</v>
      </c>
      <c r="AK43" s="88">
        <v>12.22</v>
      </c>
      <c r="AL43" s="88">
        <v>9.6999999999999993</v>
      </c>
      <c r="AM43" s="3"/>
      <c r="AO43" s="88" t="s">
        <v>193</v>
      </c>
      <c r="AP43" s="88">
        <v>6.2</v>
      </c>
      <c r="AQ43" s="88">
        <v>6.14</v>
      </c>
      <c r="AR43" s="88">
        <v>4.51</v>
      </c>
      <c r="AS43" s="88">
        <v>5.0999999999999996</v>
      </c>
      <c r="AT43" s="88">
        <v>4.46</v>
      </c>
      <c r="AU43" s="88"/>
    </row>
    <row r="44" spans="2:47" x14ac:dyDescent="0.2">
      <c r="AG44" s="88" t="s">
        <v>194</v>
      </c>
      <c r="AH44" s="88">
        <v>3.5</v>
      </c>
      <c r="AI44" s="88">
        <v>4.1100000000000003</v>
      </c>
      <c r="AJ44" s="88">
        <v>4.24</v>
      </c>
      <c r="AK44" s="88">
        <v>6.88</v>
      </c>
      <c r="AL44" s="88">
        <v>5.73</v>
      </c>
      <c r="AM44" s="3"/>
      <c r="AO44" s="88" t="s">
        <v>194</v>
      </c>
      <c r="AP44" s="88">
        <v>3.69</v>
      </c>
      <c r="AQ44" s="88">
        <v>3.81</v>
      </c>
      <c r="AR44" s="88">
        <v>2.91</v>
      </c>
      <c r="AS44" s="88">
        <v>3.69</v>
      </c>
      <c r="AT44" s="88">
        <v>3.54</v>
      </c>
      <c r="AU44" s="88"/>
    </row>
    <row r="45" spans="2:47" x14ac:dyDescent="0.2">
      <c r="AG45" s="88" t="s">
        <v>195</v>
      </c>
      <c r="AH45" s="88">
        <v>0.03</v>
      </c>
      <c r="AI45" s="88">
        <v>0.03</v>
      </c>
      <c r="AJ45" s="88">
        <v>0.03</v>
      </c>
      <c r="AK45" s="88">
        <v>0.02</v>
      </c>
      <c r="AL45" s="88">
        <v>0.03</v>
      </c>
      <c r="AM45" s="3"/>
      <c r="AO45" s="88" t="s">
        <v>195</v>
      </c>
      <c r="AP45" s="88">
        <v>0.04</v>
      </c>
      <c r="AQ45" s="88">
        <v>0.04</v>
      </c>
      <c r="AR45" s="88">
        <v>0.05</v>
      </c>
      <c r="AS45" s="88">
        <v>0.04</v>
      </c>
      <c r="AT45" s="88">
        <v>0.04</v>
      </c>
      <c r="AU45" s="8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6D91-E3A1-4444-BC2D-9CC590E82CC9}">
  <dimension ref="A3:P92"/>
  <sheetViews>
    <sheetView showGridLines="0" workbookViewId="0">
      <selection activeCell="H18" sqref="H18"/>
    </sheetView>
  </sheetViews>
  <sheetFormatPr baseColWidth="10" defaultRowHeight="16" x14ac:dyDescent="0.2"/>
  <cols>
    <col min="2" max="2" width="28.5" bestFit="1" customWidth="1"/>
    <col min="3" max="3" width="13.6640625" bestFit="1" customWidth="1"/>
    <col min="4" max="5" width="12.83203125" bestFit="1" customWidth="1"/>
    <col min="6" max="6" width="15.33203125" customWidth="1"/>
    <col min="7" max="7" width="13.83203125" bestFit="1" customWidth="1"/>
    <col min="8" max="8" width="14" bestFit="1" customWidth="1"/>
    <col min="9" max="9" width="28.5" bestFit="1" customWidth="1"/>
    <col min="10" max="10" width="22" bestFit="1" customWidth="1"/>
    <col min="13" max="13" width="15.33203125" customWidth="1"/>
  </cols>
  <sheetData>
    <row r="3" spans="1:16" ht="19" x14ac:dyDescent="0.25">
      <c r="B3" s="119" t="s">
        <v>266</v>
      </c>
      <c r="C3" s="119"/>
      <c r="D3" s="119"/>
      <c r="E3" s="119"/>
      <c r="F3" s="119"/>
      <c r="J3" s="120" t="s">
        <v>230</v>
      </c>
      <c r="K3" s="122"/>
      <c r="L3" s="122"/>
      <c r="M3" s="122"/>
      <c r="N3" s="122"/>
      <c r="O3" s="122"/>
      <c r="P3" s="122"/>
    </row>
    <row r="4" spans="1:16" ht="17" thickBot="1" x14ac:dyDescent="0.25">
      <c r="A4" s="114"/>
      <c r="B4" s="93" t="s">
        <v>263</v>
      </c>
      <c r="C4" s="93" t="s">
        <v>211</v>
      </c>
      <c r="D4" s="93" t="s">
        <v>197</v>
      </c>
      <c r="E4" s="93" t="s">
        <v>196</v>
      </c>
      <c r="F4" s="93" t="s">
        <v>212</v>
      </c>
      <c r="G4" s="93" t="s">
        <v>271</v>
      </c>
      <c r="H4" s="93" t="s">
        <v>274</v>
      </c>
      <c r="J4" s="92" t="s">
        <v>223</v>
      </c>
      <c r="K4" s="92" t="s">
        <v>211</v>
      </c>
      <c r="L4" s="92" t="s">
        <v>197</v>
      </c>
      <c r="M4" s="92" t="s">
        <v>196</v>
      </c>
      <c r="N4" s="92" t="s">
        <v>212</v>
      </c>
      <c r="O4" s="97" t="s">
        <v>271</v>
      </c>
      <c r="P4" s="97" t="s">
        <v>270</v>
      </c>
    </row>
    <row r="5" spans="1:16" x14ac:dyDescent="0.2">
      <c r="B5" s="100" t="s">
        <v>213</v>
      </c>
      <c r="C5" s="101">
        <v>872248</v>
      </c>
      <c r="D5" s="101">
        <v>517371</v>
      </c>
      <c r="E5" s="101">
        <v>200716</v>
      </c>
      <c r="F5" s="101">
        <v>137589</v>
      </c>
      <c r="G5" s="102">
        <v>367538</v>
      </c>
      <c r="H5" s="102">
        <v>121769</v>
      </c>
      <c r="J5" t="s">
        <v>231</v>
      </c>
      <c r="K5">
        <v>84</v>
      </c>
      <c r="L5">
        <v>69</v>
      </c>
      <c r="M5">
        <v>57</v>
      </c>
      <c r="N5">
        <v>76</v>
      </c>
      <c r="O5">
        <v>85.46</v>
      </c>
      <c r="P5">
        <v>71</v>
      </c>
    </row>
    <row r="6" spans="1:16" x14ac:dyDescent="0.2">
      <c r="B6" s="100" t="s">
        <v>214</v>
      </c>
      <c r="C6" s="32">
        <f>Ratios!C34</f>
        <v>1297658.8999999999</v>
      </c>
      <c r="D6" s="32">
        <f>Ratios!J34</f>
        <v>637765.07999999996</v>
      </c>
      <c r="E6" s="32">
        <f>Ratios!Z34</f>
        <v>276213.71999999997</v>
      </c>
      <c r="F6" s="32">
        <f>Ratios!R34</f>
        <v>137144.70000000001</v>
      </c>
      <c r="G6" s="103">
        <v>412962.93</v>
      </c>
      <c r="H6" s="103">
        <v>130010.34</v>
      </c>
      <c r="J6" t="s">
        <v>232</v>
      </c>
      <c r="K6">
        <v>30</v>
      </c>
      <c r="L6">
        <v>14</v>
      </c>
      <c r="M6">
        <v>11</v>
      </c>
      <c r="N6">
        <v>38.5</v>
      </c>
      <c r="O6">
        <v>14</v>
      </c>
      <c r="P6">
        <v>15</v>
      </c>
    </row>
    <row r="7" spans="1:16" x14ac:dyDescent="0.2">
      <c r="B7" s="100" t="s">
        <v>13</v>
      </c>
      <c r="C7" s="32">
        <f>'Financials of TCS'!Q3</f>
        <v>255324</v>
      </c>
      <c r="D7" s="103">
        <v>162990</v>
      </c>
      <c r="E7" s="103">
        <v>23555</v>
      </c>
      <c r="F7" s="103">
        <v>52988</v>
      </c>
      <c r="G7" s="103">
        <v>119540</v>
      </c>
      <c r="H7" s="103">
        <v>38008.1</v>
      </c>
      <c r="J7" t="s">
        <v>233</v>
      </c>
      <c r="K7">
        <f t="shared" ref="K7:P7" si="0">K5-K6</f>
        <v>54</v>
      </c>
      <c r="L7">
        <f t="shared" si="0"/>
        <v>55</v>
      </c>
      <c r="M7">
        <f t="shared" si="0"/>
        <v>46</v>
      </c>
      <c r="N7">
        <f t="shared" si="0"/>
        <v>37.5</v>
      </c>
      <c r="O7">
        <f t="shared" si="0"/>
        <v>71.459999999999994</v>
      </c>
      <c r="P7">
        <f t="shared" si="0"/>
        <v>56</v>
      </c>
    </row>
    <row r="8" spans="1:16" x14ac:dyDescent="0.2">
      <c r="B8" s="100" t="s">
        <v>215</v>
      </c>
      <c r="C8" s="32">
        <f>'Financials of TCS'!Q17-'Financials of TCS'!Q15</f>
        <v>64535</v>
      </c>
      <c r="D8" s="103">
        <v>38024</v>
      </c>
      <c r="E8" s="103">
        <v>18947</v>
      </c>
      <c r="F8" s="103">
        <v>5966</v>
      </c>
      <c r="G8" s="103">
        <v>23261</v>
      </c>
      <c r="H8" s="103">
        <v>6214.2</v>
      </c>
      <c r="J8" t="s">
        <v>234</v>
      </c>
      <c r="K8" s="84" t="s">
        <v>246</v>
      </c>
      <c r="L8" s="84" t="s">
        <v>247</v>
      </c>
      <c r="M8" s="84" t="s">
        <v>248</v>
      </c>
      <c r="N8" s="84" t="s">
        <v>249</v>
      </c>
      <c r="O8" s="84" t="s">
        <v>285</v>
      </c>
      <c r="P8" t="s">
        <v>286</v>
      </c>
    </row>
    <row r="9" spans="1:16" x14ac:dyDescent="0.2">
      <c r="B9" s="100" t="s">
        <v>5</v>
      </c>
      <c r="C9" s="32">
        <f>'Financials of TCS'!Q10</f>
        <v>67407</v>
      </c>
      <c r="D9" s="32">
        <f>35441+2619</f>
        <v>38060</v>
      </c>
      <c r="E9" s="103">
        <f>14430.2+1446.6</f>
        <v>15876.800000000001</v>
      </c>
      <c r="F9" s="103">
        <f>5966+855.2</f>
        <v>6821.2</v>
      </c>
      <c r="G9" s="103">
        <f>G8+4084</f>
        <v>27345</v>
      </c>
      <c r="H9" s="103">
        <f>H8+991.5</f>
        <v>7205.7</v>
      </c>
    </row>
    <row r="10" spans="1:16" x14ac:dyDescent="0.2">
      <c r="B10" s="100" t="s">
        <v>216</v>
      </c>
      <c r="C10" s="32">
        <f>'Financials of TCS'!Q19</f>
        <v>48797</v>
      </c>
      <c r="D10" s="103">
        <v>26750</v>
      </c>
      <c r="E10" s="103">
        <v>13192</v>
      </c>
      <c r="F10" s="103">
        <v>4244</v>
      </c>
      <c r="G10" s="103">
        <v>17399</v>
      </c>
      <c r="H10" s="103">
        <v>4598.7</v>
      </c>
    </row>
    <row r="11" spans="1:16" x14ac:dyDescent="0.2">
      <c r="B11" s="100" t="s">
        <v>245</v>
      </c>
      <c r="C11" s="7">
        <v>2434</v>
      </c>
      <c r="D11" s="103">
        <v>1266.82</v>
      </c>
      <c r="E11" s="103">
        <v>195.23</v>
      </c>
      <c r="F11" s="103">
        <v>1432.97</v>
      </c>
      <c r="G11" s="103">
        <v>1347.85</v>
      </c>
      <c r="H11" s="103">
        <v>4297.8</v>
      </c>
    </row>
    <row r="15" spans="1:16" ht="19" x14ac:dyDescent="0.25">
      <c r="B15" s="120" t="s">
        <v>242</v>
      </c>
      <c r="C15" s="121"/>
      <c r="D15" s="121"/>
      <c r="E15" s="121"/>
      <c r="F15" s="121"/>
      <c r="J15" s="120" t="s">
        <v>222</v>
      </c>
      <c r="K15" s="121"/>
      <c r="L15" s="121"/>
      <c r="M15" s="121"/>
      <c r="N15" s="121"/>
      <c r="O15" s="121"/>
      <c r="P15" s="121"/>
    </row>
    <row r="16" spans="1:16" ht="17" thickBot="1" x14ac:dyDescent="0.25">
      <c r="B16" s="92" t="s">
        <v>264</v>
      </c>
      <c r="C16" s="92" t="s">
        <v>211</v>
      </c>
      <c r="D16" s="92" t="s">
        <v>197</v>
      </c>
      <c r="E16" s="92" t="s">
        <v>196</v>
      </c>
      <c r="F16" s="92" t="s">
        <v>212</v>
      </c>
      <c r="G16" s="92" t="s">
        <v>271</v>
      </c>
      <c r="H16" s="92" t="s">
        <v>270</v>
      </c>
      <c r="J16" s="92" t="s">
        <v>223</v>
      </c>
      <c r="K16" s="92" t="s">
        <v>211</v>
      </c>
      <c r="L16" s="92" t="s">
        <v>197</v>
      </c>
      <c r="M16" s="92" t="s">
        <v>196</v>
      </c>
      <c r="N16" s="92" t="s">
        <v>212</v>
      </c>
      <c r="O16" s="97" t="s">
        <v>271</v>
      </c>
      <c r="P16" s="97" t="s">
        <v>270</v>
      </c>
    </row>
    <row r="17" spans="2:16" x14ac:dyDescent="0.2">
      <c r="B17" t="s">
        <v>217</v>
      </c>
      <c r="C17" s="83">
        <f>C11/Ratios!C4</f>
        <v>18.32417375592863</v>
      </c>
      <c r="D17" s="83">
        <f>D11/Ratios!J4</f>
        <v>20.571938941214679</v>
      </c>
      <c r="E17" s="83">
        <f>E11/Ratios!Z4</f>
        <v>18.917635658914726</v>
      </c>
      <c r="F17" s="83">
        <f>F11/Ratios!R4</f>
        <v>40.049468977082171</v>
      </c>
      <c r="G17" s="83">
        <f t="shared" ref="G17" si="1">G11/45.25</f>
        <v>29.786740331491711</v>
      </c>
      <c r="H17" s="83">
        <f t="shared" ref="H17" si="2">H11/155</f>
        <v>27.727741935483873</v>
      </c>
      <c r="J17" t="s">
        <v>224</v>
      </c>
      <c r="K17" s="99">
        <f>Ratios!C16/100</f>
        <v>0.31440000000000001</v>
      </c>
      <c r="L17" s="99">
        <f>Ratios!J16/100</f>
        <v>0.2802</v>
      </c>
      <c r="M17" s="99">
        <f>Ratios!Z16/100</f>
        <v>0.2505</v>
      </c>
      <c r="N17" s="99">
        <f>Ratios!R16/100</f>
        <v>0.12529999999999999</v>
      </c>
      <c r="O17" s="99">
        <f>(23261+4084+644+7606)/G7</f>
        <v>0.29776643801238079</v>
      </c>
      <c r="P17" s="99">
        <f>(6214.2+4259.4+991.5+278.9)/H7</f>
        <v>0.30898676860984892</v>
      </c>
    </row>
    <row r="18" spans="2:16" x14ac:dyDescent="0.2">
      <c r="B18" t="s">
        <v>218</v>
      </c>
      <c r="C18" s="83">
        <f>C6/C8</f>
        <v>20.107831409312773</v>
      </c>
      <c r="D18" s="83">
        <f>D6/D8</f>
        <v>16.772698295813168</v>
      </c>
      <c r="E18" s="83">
        <f>E6/E8</f>
        <v>14.578229798912755</v>
      </c>
      <c r="F18" s="83">
        <f>F6/F8</f>
        <v>22.987713711029166</v>
      </c>
      <c r="G18" s="83">
        <f t="shared" ref="G18:H18" si="3">G6/G8</f>
        <v>17.753446971325396</v>
      </c>
      <c r="H18" s="83">
        <f t="shared" si="3"/>
        <v>20.92149271024428</v>
      </c>
      <c r="J18" t="s">
        <v>225</v>
      </c>
      <c r="K18" s="99">
        <f>Ratios!C17/100</f>
        <v>0.29480000000000001</v>
      </c>
      <c r="L18" s="99">
        <f>Ratios!J17/100</f>
        <v>0.26100000000000001</v>
      </c>
      <c r="M18" s="99">
        <f>Ratios!Z17/100</f>
        <v>0.22899999999999998</v>
      </c>
      <c r="N18" s="99">
        <f>Ratios!R17/100</f>
        <v>0.1061</v>
      </c>
      <c r="O18" s="99">
        <f>G8/G7</f>
        <v>0.1945875857453572</v>
      </c>
      <c r="P18" s="99">
        <f>H8/H7</f>
        <v>0.16349672832896145</v>
      </c>
    </row>
    <row r="19" spans="2:16" x14ac:dyDescent="0.2">
      <c r="B19" t="s">
        <v>219</v>
      </c>
      <c r="C19" s="83">
        <f>C6/C9</f>
        <v>19.251100034121084</v>
      </c>
      <c r="D19" s="83">
        <f>D6/D9</f>
        <v>16.756833420914344</v>
      </c>
      <c r="E19" s="83">
        <f>E6/E9</f>
        <v>17.397316839665422</v>
      </c>
      <c r="F19" s="83">
        <f>F6/F9</f>
        <v>20.105655896323231</v>
      </c>
      <c r="G19" s="83">
        <f t="shared" ref="G19:H19" si="4">G6/G9</f>
        <v>15.101953922106418</v>
      </c>
      <c r="H19" s="83">
        <f t="shared" si="4"/>
        <v>18.042707856280444</v>
      </c>
      <c r="J19" t="s">
        <v>226</v>
      </c>
      <c r="K19" s="99">
        <f>Ratios!C19/100</f>
        <v>0.22359999999999999</v>
      </c>
      <c r="L19" s="99">
        <f>Ratios!J19/100</f>
        <v>0.18710000000000002</v>
      </c>
      <c r="M19" s="99">
        <f>Ratios!Z19/100</f>
        <v>0.1603</v>
      </c>
      <c r="N19" s="99">
        <f>Ratios!R19/100</f>
        <v>7.85E-2</v>
      </c>
      <c r="O19" s="99">
        <f>G10/G7</f>
        <v>0.14554960682616697</v>
      </c>
      <c r="P19" s="99">
        <f>H10/H7</f>
        <v>0.12099263051823164</v>
      </c>
    </row>
    <row r="20" spans="2:16" x14ac:dyDescent="0.2">
      <c r="B20" t="s">
        <v>220</v>
      </c>
      <c r="C20" s="83">
        <f>C5/C7</f>
        <v>3.4162397581112627</v>
      </c>
      <c r="D20" s="83">
        <f>D5/D7</f>
        <v>3.1742499539849072</v>
      </c>
      <c r="E20" s="83">
        <f>E5/E7</f>
        <v>8.521163234981957</v>
      </c>
      <c r="F20" s="83">
        <f>F5/F7</f>
        <v>2.5966067788933342</v>
      </c>
      <c r="G20" s="83">
        <f t="shared" ref="G20:H20" si="5">G5/G7</f>
        <v>3.0746026434666223</v>
      </c>
      <c r="H20" s="83">
        <f t="shared" si="5"/>
        <v>3.2037644607333702</v>
      </c>
      <c r="J20" t="s">
        <v>227</v>
      </c>
      <c r="K20" s="99">
        <f>Ratios!C20/100</f>
        <v>0.63549999999999995</v>
      </c>
      <c r="L20" s="99">
        <f>Ratios!J20/100</f>
        <v>0.29270000000000002</v>
      </c>
      <c r="M20" s="99">
        <f>Ratios!Z20/100</f>
        <v>0.17149999999999999</v>
      </c>
      <c r="N20" s="99">
        <f>Ratios!R20/100</f>
        <v>0.15629999999999999</v>
      </c>
      <c r="O20" s="8">
        <v>0.24959999999999999</v>
      </c>
      <c r="P20" s="8">
        <v>0.2026</v>
      </c>
    </row>
    <row r="21" spans="2:16" x14ac:dyDescent="0.2">
      <c r="B21" t="s">
        <v>221</v>
      </c>
      <c r="C21" s="83">
        <f>C6/C7</f>
        <v>5.0824007927182713</v>
      </c>
      <c r="D21" s="83">
        <f>D6/D7</f>
        <v>3.9129092582367013</v>
      </c>
      <c r="E21" s="83">
        <f>E6/E7</f>
        <v>11.726330715347059</v>
      </c>
      <c r="F21" s="83">
        <f>F6/F7</f>
        <v>2.5882218615535595</v>
      </c>
      <c r="G21" s="83">
        <f t="shared" ref="G21:H21" si="6">G6/G7</f>
        <v>3.4546003848084323</v>
      </c>
      <c r="H21" s="83">
        <f t="shared" si="6"/>
        <v>3.4205956098831565</v>
      </c>
      <c r="J21" t="s">
        <v>228</v>
      </c>
      <c r="K21" s="99">
        <f>Ratios!C21/100</f>
        <v>0.75769999999999993</v>
      </c>
      <c r="L21" s="99">
        <f>Ratios!J21/100</f>
        <v>0.38270000000000004</v>
      </c>
      <c r="M21" s="99">
        <f>Ratios!Z21/100</f>
        <v>0.22149999999999997</v>
      </c>
      <c r="N21" s="99">
        <f>Ratios!R21/100</f>
        <v>0.18440000000000001</v>
      </c>
      <c r="O21" s="8">
        <v>0.30840000000000001</v>
      </c>
      <c r="P21" s="8">
        <v>0.26319999999999999</v>
      </c>
    </row>
    <row r="22" spans="2:16" x14ac:dyDescent="0.2">
      <c r="J22" t="s">
        <v>229</v>
      </c>
      <c r="K22" s="99">
        <f>Ratios!C22/100</f>
        <v>0.3619</v>
      </c>
      <c r="L22" s="99">
        <f>Ratios!J22/100</f>
        <v>0.2046</v>
      </c>
      <c r="M22" s="99">
        <f>Ratios!Z22/100</f>
        <v>0.11720000000000001</v>
      </c>
      <c r="N22" s="99">
        <f>Ratios!R22/100</f>
        <v>9.69E-2</v>
      </c>
      <c r="O22" s="8">
        <v>0.16470000000000001</v>
      </c>
      <c r="P22" s="8">
        <v>0.15010000000000001</v>
      </c>
    </row>
    <row r="26" spans="2:16" ht="19" x14ac:dyDescent="0.25">
      <c r="B26" s="120" t="s">
        <v>238</v>
      </c>
      <c r="C26" s="121"/>
      <c r="D26" s="121"/>
      <c r="E26" s="121"/>
      <c r="F26" s="121"/>
      <c r="J26" s="120" t="s">
        <v>243</v>
      </c>
      <c r="K26" s="122"/>
      <c r="L26" s="122"/>
      <c r="M26" s="122"/>
      <c r="N26" s="122"/>
      <c r="O26" s="122"/>
      <c r="P26" s="122"/>
    </row>
    <row r="27" spans="2:16" ht="17" thickBot="1" x14ac:dyDescent="0.25">
      <c r="B27" s="92" t="s">
        <v>223</v>
      </c>
      <c r="C27" s="92" t="s">
        <v>211</v>
      </c>
      <c r="D27" s="92" t="s">
        <v>197</v>
      </c>
      <c r="E27" s="92" t="s">
        <v>196</v>
      </c>
      <c r="F27" s="92" t="s">
        <v>212</v>
      </c>
      <c r="G27" s="97" t="s">
        <v>271</v>
      </c>
      <c r="H27" s="97" t="s">
        <v>270</v>
      </c>
      <c r="J27" s="92" t="s">
        <v>223</v>
      </c>
      <c r="K27" s="92" t="s">
        <v>211</v>
      </c>
      <c r="L27" s="92" t="s">
        <v>197</v>
      </c>
      <c r="M27" s="92" t="s">
        <v>196</v>
      </c>
      <c r="N27" s="92" t="s">
        <v>212</v>
      </c>
      <c r="O27" s="97" t="s">
        <v>271</v>
      </c>
      <c r="P27" s="97" t="s">
        <v>270</v>
      </c>
    </row>
    <row r="28" spans="2:16" x14ac:dyDescent="0.2">
      <c r="B28" t="s">
        <v>239</v>
      </c>
      <c r="C28" s="99">
        <f>'Financials of TCS'!Y3/'Peer Comparison'!C10</f>
        <v>1.0022747300038937</v>
      </c>
      <c r="D28" s="99">
        <f>35694/D10</f>
        <v>1.3343551401869158</v>
      </c>
      <c r="E28" s="99">
        <f>16942/E10</f>
        <v>1.2842631898120074</v>
      </c>
      <c r="F28" s="99">
        <f>4293.1/F10</f>
        <v>1.011569274269557</v>
      </c>
      <c r="G28" s="99">
        <f>22261/G9</f>
        <v>0.81407935637228013</v>
      </c>
      <c r="H28" s="99">
        <f t="shared" ref="H28:H29" si="7">3596.2/H9</f>
        <v>0.49907711950261596</v>
      </c>
      <c r="J28" t="s">
        <v>235</v>
      </c>
      <c r="K28" s="83" t="s">
        <v>288</v>
      </c>
      <c r="L28" s="83">
        <v>0</v>
      </c>
      <c r="M28" s="83" t="s">
        <v>288</v>
      </c>
      <c r="N28" s="83" t="s">
        <v>287</v>
      </c>
      <c r="O28" t="s">
        <v>284</v>
      </c>
      <c r="P28" s="83">
        <v>0</v>
      </c>
    </row>
    <row r="29" spans="2:16" x14ac:dyDescent="0.2">
      <c r="B29" t="s">
        <v>240</v>
      </c>
      <c r="C29" s="8">
        <v>0.97</v>
      </c>
      <c r="D29" s="99">
        <f>32030/D10</f>
        <v>1.1973831775700934</v>
      </c>
      <c r="E29" s="99">
        <f>13740/E10</f>
        <v>1.0415403274711947</v>
      </c>
      <c r="F29" s="99">
        <f>5653/F10</f>
        <v>1.3319981149858624</v>
      </c>
      <c r="G29" s="99">
        <f t="shared" ref="G29" si="8">21260/G10</f>
        <v>1.221909305132479</v>
      </c>
      <c r="H29" s="99">
        <f t="shared" si="7"/>
        <v>0.78200360971578919</v>
      </c>
      <c r="J29" t="s">
        <v>236</v>
      </c>
      <c r="K29" s="84" t="s">
        <v>272</v>
      </c>
      <c r="L29" s="84" t="s">
        <v>273</v>
      </c>
      <c r="M29" s="84" t="s">
        <v>250</v>
      </c>
      <c r="N29" s="84" t="s">
        <v>251</v>
      </c>
      <c r="O29" s="83" t="s">
        <v>289</v>
      </c>
      <c r="P29" s="83" t="s">
        <v>290</v>
      </c>
    </row>
    <row r="30" spans="2:16" x14ac:dyDescent="0.2">
      <c r="B30" t="s">
        <v>241</v>
      </c>
      <c r="C30" s="8">
        <v>4.0000000000000001E-3</v>
      </c>
      <c r="D30" s="8">
        <v>0.01</v>
      </c>
      <c r="E30" s="8">
        <v>0.02</v>
      </c>
      <c r="F30" s="8">
        <v>0.01</v>
      </c>
      <c r="G30" s="99">
        <v>0.02</v>
      </c>
      <c r="H30" s="99">
        <f>3596.2/H11</f>
        <v>0.83675368793336113</v>
      </c>
      <c r="J30" t="s">
        <v>237</v>
      </c>
      <c r="K30" s="83" t="s">
        <v>291</v>
      </c>
      <c r="L30" s="83" t="s">
        <v>252</v>
      </c>
      <c r="M30" s="83" t="s">
        <v>253</v>
      </c>
      <c r="N30" s="83" t="s">
        <v>254</v>
      </c>
      <c r="O30" s="83" t="s">
        <v>292</v>
      </c>
      <c r="P30" s="83" t="s">
        <v>293</v>
      </c>
    </row>
    <row r="32" spans="2:16" x14ac:dyDescent="0.2">
      <c r="J32" t="s">
        <v>275</v>
      </c>
    </row>
    <row r="35" spans="9:10" x14ac:dyDescent="0.2">
      <c r="I35" s="88"/>
    </row>
    <row r="36" spans="9:10" x14ac:dyDescent="0.2">
      <c r="I36" s="88"/>
      <c r="J36" s="88"/>
    </row>
    <row r="37" spans="9:10" x14ac:dyDescent="0.2">
      <c r="I37" s="88"/>
      <c r="J37" s="88"/>
    </row>
    <row r="38" spans="9:10" x14ac:dyDescent="0.2">
      <c r="I38" s="88"/>
      <c r="J38" s="88"/>
    </row>
    <row r="92" spans="10:11" x14ac:dyDescent="0.2">
      <c r="J92" t="s">
        <v>244</v>
      </c>
      <c r="K92" s="7">
        <f>'Financials of TCS'!L17-'Financials of TCS'!L15</f>
        <v>41324</v>
      </c>
    </row>
  </sheetData>
  <mergeCells count="6">
    <mergeCell ref="B3:F3"/>
    <mergeCell ref="B26:F26"/>
    <mergeCell ref="B15:F15"/>
    <mergeCell ref="J15:P15"/>
    <mergeCell ref="J3:P3"/>
    <mergeCell ref="J26:P26"/>
  </mergeCells>
  <pageMargins left="0.7" right="0.7" top="0.75" bottom="0.75" header="0.3" footer="0.3"/>
  <pageSetup paperSize="9" orientation="portrait" horizontalDpi="0" verticalDpi="0"/>
  <ignoredErrors>
    <ignoredError sqref="G18:H18" calculatedColumn="1"/>
  </ignoredErrors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6FB4-2E37-7049-B7E1-0E963A5784F3}">
  <dimension ref="B3:L98"/>
  <sheetViews>
    <sheetView showGridLines="0" tabSelected="1" zoomScale="115" workbookViewId="0">
      <selection activeCell="C16" sqref="C16"/>
    </sheetView>
  </sheetViews>
  <sheetFormatPr baseColWidth="10" defaultRowHeight="16" x14ac:dyDescent="0.2"/>
  <cols>
    <col min="2" max="2" width="34.33203125" bestFit="1" customWidth="1"/>
    <col min="3" max="12" width="13" bestFit="1" customWidth="1"/>
  </cols>
  <sheetData>
    <row r="3" spans="2:12" x14ac:dyDescent="0.2">
      <c r="B3" s="16" t="s">
        <v>261</v>
      </c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2:12" x14ac:dyDescent="0.2">
      <c r="B4" s="17" t="s">
        <v>9</v>
      </c>
      <c r="C4" s="18">
        <v>2021</v>
      </c>
      <c r="D4" s="18">
        <v>2022</v>
      </c>
      <c r="E4" s="18">
        <v>2023</v>
      </c>
      <c r="F4" s="18">
        <v>2024</v>
      </c>
      <c r="G4" s="18">
        <v>2025</v>
      </c>
      <c r="H4" s="18" t="s">
        <v>10</v>
      </c>
      <c r="I4" s="18" t="s">
        <v>11</v>
      </c>
      <c r="J4" s="18" t="s">
        <v>12</v>
      </c>
      <c r="K4" s="113" t="s">
        <v>30</v>
      </c>
      <c r="L4" s="113" t="s">
        <v>167</v>
      </c>
    </row>
    <row r="5" spans="2:12" x14ac:dyDescent="0.2">
      <c r="B5" s="19" t="s">
        <v>13</v>
      </c>
      <c r="C5" s="20">
        <v>164177</v>
      </c>
      <c r="D5" s="20">
        <f>'Financials of TCS'!N3</f>
        <v>191754</v>
      </c>
      <c r="E5" s="20">
        <f>'Financials of TCS'!O3</f>
        <v>225458</v>
      </c>
      <c r="F5" s="20">
        <f>'Financials of TCS'!P3</f>
        <v>240893</v>
      </c>
      <c r="G5" s="20">
        <f>'Financials of TCS'!Q3</f>
        <v>255324</v>
      </c>
      <c r="H5" s="96">
        <f>G5*(1+H24)</f>
        <v>271920.06</v>
      </c>
      <c r="I5" s="96">
        <f t="shared" ref="I5:L5" si="0">H5*(1+I24)</f>
        <v>290954.46419999999</v>
      </c>
      <c r="J5" s="96">
        <f t="shared" si="0"/>
        <v>312776.049015</v>
      </c>
      <c r="K5" s="96">
        <f t="shared" si="0"/>
        <v>337798.13293620001</v>
      </c>
      <c r="L5" s="96">
        <f t="shared" si="0"/>
        <v>364821.98357109603</v>
      </c>
    </row>
    <row r="6" spans="2:12" x14ac:dyDescent="0.2">
      <c r="B6" s="21" t="s">
        <v>86</v>
      </c>
      <c r="C6" s="33">
        <f>'Financials of TCS'!M5*85%</f>
        <v>99986.349999999991</v>
      </c>
      <c r="D6" s="33">
        <f>'Financials of TCS'!N5*84%</f>
        <v>116505.48</v>
      </c>
      <c r="E6" s="33">
        <f>'Financials of TCS'!O5*84%</f>
        <v>139607.16</v>
      </c>
      <c r="F6" s="33">
        <f>'Financials of TCS'!P5*86%</f>
        <v>151873.41999999998</v>
      </c>
      <c r="G6" s="33">
        <f>'Financials of TCS'!Q5*88%</f>
        <v>165366.96</v>
      </c>
      <c r="H6" s="22">
        <f>H5*H26</f>
        <v>169348.78206754843</v>
      </c>
      <c r="I6" s="22">
        <f t="shared" ref="I6:L6" si="1">I5*I26</f>
        <v>181203.19681227682</v>
      </c>
      <c r="J6" s="22">
        <f t="shared" si="1"/>
        <v>194793.43657319757</v>
      </c>
      <c r="K6" s="22">
        <f t="shared" si="1"/>
        <v>210376.91149905339</v>
      </c>
      <c r="L6" s="22">
        <f t="shared" si="1"/>
        <v>227207.06441897768</v>
      </c>
    </row>
    <row r="7" spans="2:12" x14ac:dyDescent="0.2">
      <c r="B7" s="23" t="s">
        <v>4</v>
      </c>
      <c r="C7" s="79">
        <f>C5-C6</f>
        <v>64190.650000000009</v>
      </c>
      <c r="D7" s="79">
        <f t="shared" ref="D7:G7" si="2">D5-D6</f>
        <v>75248.52</v>
      </c>
      <c r="E7" s="79">
        <f t="shared" si="2"/>
        <v>85850.84</v>
      </c>
      <c r="F7" s="79">
        <f t="shared" si="2"/>
        <v>89019.580000000016</v>
      </c>
      <c r="G7" s="79">
        <f t="shared" si="2"/>
        <v>89957.040000000008</v>
      </c>
      <c r="H7" s="24">
        <f>H5-H6</f>
        <v>102571.27793245157</v>
      </c>
      <c r="I7" s="24">
        <f t="shared" ref="I7:L7" si="3">I5-I6</f>
        <v>109751.26738772317</v>
      </c>
      <c r="J7" s="24">
        <f t="shared" si="3"/>
        <v>117982.61244180243</v>
      </c>
      <c r="K7" s="24">
        <f t="shared" si="3"/>
        <v>127421.22143714663</v>
      </c>
      <c r="L7" s="24">
        <f t="shared" si="3"/>
        <v>137614.91915211835</v>
      </c>
    </row>
    <row r="8" spans="2:12" x14ac:dyDescent="0.2">
      <c r="B8" s="78" t="s">
        <v>300</v>
      </c>
      <c r="C8" s="33">
        <f>'Financials of TCS'!L5*'Financials of TCS'!L9</f>
        <v>19522.800000000003</v>
      </c>
      <c r="D8" s="33">
        <f>'Financials of TCS'!M5*'Financials of TCS'!M9</f>
        <v>17644.649999999998</v>
      </c>
      <c r="E8" s="33">
        <f>'Financials of TCS'!N5*'Financials of TCS'!N9</f>
        <v>22191.52</v>
      </c>
      <c r="F8" s="33">
        <f>'Financials of TCS'!O5*'Financials of TCS'!O9</f>
        <v>26591.84</v>
      </c>
      <c r="G8" s="33">
        <f>'Financials of TCS'!P5*'Financials of TCS'!P9</f>
        <v>24723.58</v>
      </c>
      <c r="H8" s="34">
        <f>H5*H27</f>
        <v>28093.673253869056</v>
      </c>
      <c r="I8" s="34">
        <f t="shared" ref="I8:L8" si="4">I5*I27</f>
        <v>30060.230381639889</v>
      </c>
      <c r="J8" s="34">
        <f t="shared" si="4"/>
        <v>32314.747660262881</v>
      </c>
      <c r="K8" s="34">
        <f t="shared" si="4"/>
        <v>34899.927473083917</v>
      </c>
      <c r="L8" s="34">
        <f t="shared" si="4"/>
        <v>37691.921670930627</v>
      </c>
    </row>
    <row r="9" spans="2:12" x14ac:dyDescent="0.2">
      <c r="B9" s="23" t="s">
        <v>5</v>
      </c>
      <c r="C9" s="80">
        <f>C7-C8</f>
        <v>44667.850000000006</v>
      </c>
      <c r="D9" s="80">
        <f t="shared" ref="D9:G9" si="5">D7-D8</f>
        <v>57603.87000000001</v>
      </c>
      <c r="E9" s="80">
        <f t="shared" si="5"/>
        <v>63659.319999999992</v>
      </c>
      <c r="F9" s="80">
        <f t="shared" si="5"/>
        <v>62427.74000000002</v>
      </c>
      <c r="G9" s="80">
        <f t="shared" si="5"/>
        <v>65233.460000000006</v>
      </c>
      <c r="H9" s="24">
        <f>H7-H8</f>
        <v>74477.604678582516</v>
      </c>
      <c r="I9" s="24">
        <f t="shared" ref="I9:L9" si="6">I7-I8</f>
        <v>79691.037006083279</v>
      </c>
      <c r="J9" s="24">
        <f t="shared" si="6"/>
        <v>85667.864781539538</v>
      </c>
      <c r="K9" s="24">
        <f t="shared" si="6"/>
        <v>92521.293964062701</v>
      </c>
      <c r="L9" s="24">
        <f t="shared" si="6"/>
        <v>99922.997481187718</v>
      </c>
    </row>
    <row r="10" spans="2:12" x14ac:dyDescent="0.2">
      <c r="B10" s="21" t="s">
        <v>15</v>
      </c>
      <c r="C10" s="33">
        <v>4065</v>
      </c>
      <c r="D10" s="33">
        <v>4604</v>
      </c>
      <c r="E10" s="33">
        <v>5022</v>
      </c>
      <c r="F10" s="33">
        <v>4985</v>
      </c>
      <c r="G10" s="33">
        <v>5242</v>
      </c>
      <c r="H10" s="33">
        <f>'Fixed Assets'!I6</f>
        <v>3096.7814087557049</v>
      </c>
      <c r="I10" s="33">
        <f>'Fixed Assets'!J6</f>
        <v>2810.6748417409312</v>
      </c>
      <c r="J10" s="33">
        <f>'Fixed Assets'!K6</f>
        <v>2551.0011922893859</v>
      </c>
      <c r="K10" s="33">
        <f>'Fixed Assets'!L6</f>
        <v>2315.3183664002413</v>
      </c>
      <c r="L10" s="33">
        <f>'Fixed Assets'!M6</f>
        <v>2101.4098911413453</v>
      </c>
    </row>
    <row r="11" spans="2:12" x14ac:dyDescent="0.2">
      <c r="B11" s="23" t="s">
        <v>16</v>
      </c>
      <c r="C11" s="24">
        <f>C9-C10</f>
        <v>40602.850000000006</v>
      </c>
      <c r="D11" s="24">
        <f t="shared" ref="D11:G11" si="7">D9-D10</f>
        <v>52999.87000000001</v>
      </c>
      <c r="E11" s="24">
        <f t="shared" si="7"/>
        <v>58637.319999999992</v>
      </c>
      <c r="F11" s="24">
        <f t="shared" si="7"/>
        <v>57442.74000000002</v>
      </c>
      <c r="G11" s="24">
        <f t="shared" si="7"/>
        <v>59991.460000000006</v>
      </c>
      <c r="H11" s="24">
        <f>H9-H10</f>
        <v>71380.823269826811</v>
      </c>
      <c r="I11" s="24">
        <f t="shared" ref="I11:L11" si="8">I9-I10</f>
        <v>76880.362164342354</v>
      </c>
      <c r="J11" s="24">
        <f t="shared" si="8"/>
        <v>83116.863589250148</v>
      </c>
      <c r="K11" s="24">
        <f t="shared" si="8"/>
        <v>90205.975597662458</v>
      </c>
      <c r="L11" s="24">
        <f t="shared" si="8"/>
        <v>97821.587590046372</v>
      </c>
    </row>
    <row r="12" spans="2:12" x14ac:dyDescent="0.2">
      <c r="B12" s="21" t="s">
        <v>17</v>
      </c>
      <c r="C12" s="22">
        <v>11635</v>
      </c>
      <c r="D12" s="22">
        <v>13654</v>
      </c>
      <c r="E12" s="22">
        <v>14757</v>
      </c>
      <c r="F12" s="22">
        <v>15864</v>
      </c>
      <c r="G12" s="22">
        <v>16910</v>
      </c>
      <c r="H12" s="34">
        <f>H11*H28</f>
        <v>21414.246980948043</v>
      </c>
      <c r="I12" s="34">
        <f t="shared" ref="I12:L12" si="9">I11*I28</f>
        <v>23064.108649302707</v>
      </c>
      <c r="J12" s="34">
        <f t="shared" si="9"/>
        <v>24935.059076775044</v>
      </c>
      <c r="K12" s="34">
        <f t="shared" si="9"/>
        <v>27061.792679298738</v>
      </c>
      <c r="L12" s="34">
        <f t="shared" si="9"/>
        <v>29346.47627701391</v>
      </c>
    </row>
    <row r="13" spans="2:12" x14ac:dyDescent="0.2">
      <c r="B13" s="23" t="s">
        <v>18</v>
      </c>
      <c r="C13" s="24">
        <f>C11-C12</f>
        <v>28967.850000000006</v>
      </c>
      <c r="D13" s="24">
        <f t="shared" ref="D13:G13" si="10">D11-D12</f>
        <v>39345.87000000001</v>
      </c>
      <c r="E13" s="24">
        <f t="shared" si="10"/>
        <v>43880.319999999992</v>
      </c>
      <c r="F13" s="24">
        <f t="shared" si="10"/>
        <v>41578.74000000002</v>
      </c>
      <c r="G13" s="24">
        <f t="shared" si="10"/>
        <v>43081.460000000006</v>
      </c>
      <c r="H13" s="24">
        <f>H11-H12</f>
        <v>49966.576288878772</v>
      </c>
      <c r="I13" s="24">
        <f t="shared" ref="I13:L13" si="11">I11-I12</f>
        <v>53816.253515039643</v>
      </c>
      <c r="J13" s="24">
        <f t="shared" si="11"/>
        <v>58181.804512475108</v>
      </c>
      <c r="K13" s="24">
        <f t="shared" si="11"/>
        <v>63144.182918363716</v>
      </c>
      <c r="L13" s="24">
        <f t="shared" si="11"/>
        <v>68475.111313032467</v>
      </c>
    </row>
    <row r="14" spans="2:12" x14ac:dyDescent="0.2">
      <c r="B14" s="19" t="s">
        <v>19</v>
      </c>
      <c r="C14" s="25">
        <f>C10</f>
        <v>4065</v>
      </c>
      <c r="D14" s="25">
        <f t="shared" ref="D14:G14" si="12">D10</f>
        <v>4604</v>
      </c>
      <c r="E14" s="25">
        <f t="shared" si="12"/>
        <v>5022</v>
      </c>
      <c r="F14" s="25">
        <f t="shared" si="12"/>
        <v>4985</v>
      </c>
      <c r="G14" s="25">
        <f t="shared" si="12"/>
        <v>5242</v>
      </c>
      <c r="H14" s="25">
        <f>H10</f>
        <v>3096.7814087557049</v>
      </c>
      <c r="I14" s="25">
        <f t="shared" ref="I14:L14" si="13">I10</f>
        <v>2810.6748417409312</v>
      </c>
      <c r="J14" s="25">
        <f t="shared" si="13"/>
        <v>2551.0011922893859</v>
      </c>
      <c r="K14" s="25">
        <f t="shared" si="13"/>
        <v>2315.3183664002413</v>
      </c>
      <c r="L14" s="25">
        <f t="shared" si="13"/>
        <v>2101.4098911413453</v>
      </c>
    </row>
    <row r="15" spans="2:12" x14ac:dyDescent="0.2">
      <c r="B15" s="19" t="s">
        <v>20</v>
      </c>
      <c r="C15" s="20">
        <f>2719+101+356</f>
        <v>3176</v>
      </c>
      <c r="D15" s="20">
        <v>2995</v>
      </c>
      <c r="E15" s="20">
        <v>3100</v>
      </c>
      <c r="F15" s="20">
        <v>2674</v>
      </c>
      <c r="G15" s="20">
        <v>3937</v>
      </c>
      <c r="H15" s="25">
        <f>'Fixed Assets'!I7</f>
        <v>2142.0400585360089</v>
      </c>
      <c r="I15" s="25">
        <f>'Fixed Assets'!J7</f>
        <v>1944.1404826011003</v>
      </c>
      <c r="J15" s="25">
        <f>'Fixed Assets'!K7</f>
        <v>1764.5245246588374</v>
      </c>
      <c r="K15" s="25">
        <f>'Fixed Assets'!L7</f>
        <v>1601.5029911608167</v>
      </c>
      <c r="L15" s="25">
        <f>'Fixed Assets'!M7</f>
        <v>1453.5427503865026</v>
      </c>
    </row>
    <row r="16" spans="2:12" x14ac:dyDescent="0.2">
      <c r="B16" s="19" t="s">
        <v>21</v>
      </c>
      <c r="C16" s="25">
        <f>C17-23026</f>
        <v>-535</v>
      </c>
      <c r="D16" s="25">
        <f>D17-C17</f>
        <v>10046</v>
      </c>
      <c r="E16" s="25">
        <f>E17-D17</f>
        <v>8594</v>
      </c>
      <c r="F16" s="25">
        <f t="shared" ref="F16:L16" si="14">F17-E17</f>
        <v>-428</v>
      </c>
      <c r="G16" s="25">
        <f t="shared" si="14"/>
        <v>3434</v>
      </c>
      <c r="H16" s="25">
        <f t="shared" si="14"/>
        <v>3318.7216350119488</v>
      </c>
      <c r="I16" s="25">
        <f t="shared" si="14"/>
        <v>2052.8797204918883</v>
      </c>
      <c r="J16" s="25">
        <f t="shared" si="14"/>
        <v>4022.4804095605359</v>
      </c>
      <c r="K16" s="25">
        <f t="shared" si="14"/>
        <v>4743.9044736495198</v>
      </c>
      <c r="L16" s="25">
        <f t="shared" si="14"/>
        <v>4824.8226797314783</v>
      </c>
    </row>
    <row r="17" spans="2:12" x14ac:dyDescent="0.2">
      <c r="B17" s="26" t="s">
        <v>22</v>
      </c>
      <c r="C17" s="20">
        <f>C18-C19</f>
        <v>22491</v>
      </c>
      <c r="D17" s="20">
        <f t="shared" ref="D17:L17" si="15">D18-D19</f>
        <v>32537</v>
      </c>
      <c r="E17" s="20">
        <f t="shared" si="15"/>
        <v>41131</v>
      </c>
      <c r="F17" s="20">
        <f t="shared" si="15"/>
        <v>40703</v>
      </c>
      <c r="G17" s="20">
        <f t="shared" si="15"/>
        <v>44137</v>
      </c>
      <c r="H17" s="20">
        <f t="shared" si="15"/>
        <v>47455.721635011949</v>
      </c>
      <c r="I17" s="20">
        <f t="shared" si="15"/>
        <v>49508.601355503837</v>
      </c>
      <c r="J17" s="20">
        <f t="shared" si="15"/>
        <v>53531.081765064373</v>
      </c>
      <c r="K17" s="20">
        <f t="shared" si="15"/>
        <v>58274.986238713893</v>
      </c>
      <c r="L17" s="20">
        <f t="shared" si="15"/>
        <v>63099.808918445371</v>
      </c>
    </row>
    <row r="18" spans="2:12" x14ac:dyDescent="0.2">
      <c r="B18" s="26" t="s">
        <v>23</v>
      </c>
      <c r="C18" s="25">
        <f>'Net Working Capital'!E9</f>
        <v>42551</v>
      </c>
      <c r="D18" s="25">
        <f>'Net Working Capital'!F9</f>
        <v>52609</v>
      </c>
      <c r="E18" s="25">
        <f>'Net Working Capital'!G9</f>
        <v>60381</v>
      </c>
      <c r="F18" s="25">
        <f>'Net Working Capital'!H9</f>
        <v>66608</v>
      </c>
      <c r="G18" s="25">
        <f>'Net Working Capital'!I9</f>
        <v>74718</v>
      </c>
      <c r="H18" s="25">
        <f>'Net Working Capital'!J9</f>
        <v>74854.03167733422</v>
      </c>
      <c r="I18" s="25">
        <f>'Net Working Capital'!K9</f>
        <v>78824.793100788665</v>
      </c>
      <c r="J18" s="25">
        <f>'Net Working Capital'!L9</f>
        <v>85045.987891245561</v>
      </c>
      <c r="K18" s="25">
        <f>'Net Working Capital'!M9</f>
        <v>92311.084854989575</v>
      </c>
      <c r="L18" s="25">
        <f>'Net Working Capital'!N9</f>
        <v>99858.795424023119</v>
      </c>
    </row>
    <row r="19" spans="2:12" x14ac:dyDescent="0.2">
      <c r="B19" s="26" t="s">
        <v>24</v>
      </c>
      <c r="C19" s="22">
        <f>'Net Working Capital'!E14</f>
        <v>20060</v>
      </c>
      <c r="D19" s="22">
        <f>'Net Working Capital'!F14</f>
        <v>20072</v>
      </c>
      <c r="E19" s="22">
        <f>'Net Working Capital'!G14</f>
        <v>19250</v>
      </c>
      <c r="F19" s="22">
        <f>'Net Working Capital'!H14</f>
        <v>25905</v>
      </c>
      <c r="G19" s="22">
        <f>'Net Working Capital'!I14</f>
        <v>30581</v>
      </c>
      <c r="H19" s="22">
        <f>'Net Working Capital'!J14</f>
        <v>27398.310042322271</v>
      </c>
      <c r="I19" s="22">
        <f>'Net Working Capital'!K14</f>
        <v>29316.191745284832</v>
      </c>
      <c r="J19" s="22">
        <f>'Net Working Capital'!L14</f>
        <v>31514.906126181188</v>
      </c>
      <c r="K19" s="22">
        <f>'Net Working Capital'!M14</f>
        <v>34036.098616275682</v>
      </c>
      <c r="L19" s="22">
        <f>'Net Working Capital'!N14</f>
        <v>36758.986505577748</v>
      </c>
    </row>
    <row r="20" spans="2:12" x14ac:dyDescent="0.2">
      <c r="B20" s="27" t="s">
        <v>25</v>
      </c>
      <c r="C20" s="28">
        <f>C13+C14-C15-C16</f>
        <v>30391.850000000006</v>
      </c>
      <c r="D20" s="28">
        <f t="shared" ref="D20:L20" si="16">D13+D14-D15-D16</f>
        <v>30908.87000000001</v>
      </c>
      <c r="E20" s="28">
        <f t="shared" si="16"/>
        <v>37208.319999999992</v>
      </c>
      <c r="F20" s="28">
        <f t="shared" si="16"/>
        <v>44317.74000000002</v>
      </c>
      <c r="G20" s="28">
        <f t="shared" si="16"/>
        <v>40952.460000000006</v>
      </c>
      <c r="H20" s="28">
        <f t="shared" si="16"/>
        <v>47602.596004086517</v>
      </c>
      <c r="I20" s="28">
        <f t="shared" si="16"/>
        <v>52629.908153687589</v>
      </c>
      <c r="J20" s="28">
        <f t="shared" si="16"/>
        <v>54945.800770545116</v>
      </c>
      <c r="K20" s="28">
        <f t="shared" si="16"/>
        <v>59114.093819953625</v>
      </c>
      <c r="L20" s="28">
        <f t="shared" si="16"/>
        <v>64298.155774055827</v>
      </c>
    </row>
    <row r="21" spans="2:12" x14ac:dyDescent="0.2"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2:12" x14ac:dyDescent="0.2">
      <c r="B22" s="16" t="s">
        <v>26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2:12" x14ac:dyDescent="0.2">
      <c r="B23" s="17" t="s">
        <v>9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2:12" x14ac:dyDescent="0.2">
      <c r="B24" s="29" t="s">
        <v>27</v>
      </c>
      <c r="C24" s="47">
        <f>(C5/F98)-1</f>
        <v>4.6053176509566862E-2</v>
      </c>
      <c r="D24" s="47">
        <f>(D5/C5)-1</f>
        <v>0.1679711530847805</v>
      </c>
      <c r="E24" s="47">
        <f t="shared" ref="E24:G24" si="17">(E5/D5)-1</f>
        <v>0.17576686796624852</v>
      </c>
      <c r="F24" s="47">
        <f t="shared" si="17"/>
        <v>6.8460644554639849E-2</v>
      </c>
      <c r="G24" s="47">
        <f t="shared" si="17"/>
        <v>5.9906265437351891E-2</v>
      </c>
      <c r="H24" s="98">
        <v>6.5000000000000002E-2</v>
      </c>
      <c r="I24" s="98">
        <v>7.0000000000000007E-2</v>
      </c>
      <c r="J24" s="98">
        <v>7.4999999999999997E-2</v>
      </c>
      <c r="K24" s="98">
        <v>0.08</v>
      </c>
      <c r="L24" s="98">
        <v>0.08</v>
      </c>
    </row>
    <row r="25" spans="2:12" x14ac:dyDescent="0.2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2:12" x14ac:dyDescent="0.2">
      <c r="B26" s="29" t="s">
        <v>299</v>
      </c>
      <c r="C26" s="75">
        <f>C6/C5</f>
        <v>0.6090155746541841</v>
      </c>
      <c r="D26" s="75">
        <f t="shared" ref="D26:G26" si="18">D6/D5</f>
        <v>0.60757783409994048</v>
      </c>
      <c r="E26" s="75">
        <f t="shared" si="18"/>
        <v>0.61921581846729767</v>
      </c>
      <c r="F26" s="75">
        <f t="shared" si="18"/>
        <v>0.63046007978646113</v>
      </c>
      <c r="G26" s="75">
        <f t="shared" si="18"/>
        <v>0.64767495417587062</v>
      </c>
      <c r="H26" s="75">
        <f>AVERAGE(C26:G26)</f>
        <v>0.62278885223675085</v>
      </c>
      <c r="I26" s="75">
        <f>H26</f>
        <v>0.62278885223675085</v>
      </c>
      <c r="J26" s="75">
        <f t="shared" ref="J26:L26" si="19">I26</f>
        <v>0.62278885223675085</v>
      </c>
      <c r="K26" s="75">
        <f t="shared" si="19"/>
        <v>0.62278885223675085</v>
      </c>
      <c r="L26" s="75">
        <f t="shared" si="19"/>
        <v>0.62278885223675085</v>
      </c>
    </row>
    <row r="27" spans="2:12" x14ac:dyDescent="0.2">
      <c r="B27" s="29" t="s">
        <v>28</v>
      </c>
      <c r="C27" s="75">
        <f>C8/C5</f>
        <v>0.11891312425004723</v>
      </c>
      <c r="D27" s="75">
        <f t="shared" ref="D27:G27" si="20">D8/D5</f>
        <v>9.2017115679464301E-2</v>
      </c>
      <c r="E27" s="75">
        <f t="shared" si="20"/>
        <v>9.8428620851777268E-2</v>
      </c>
      <c r="F27" s="75">
        <f t="shared" si="20"/>
        <v>0.11038859576658516</v>
      </c>
      <c r="G27" s="75">
        <f t="shared" si="20"/>
        <v>9.6832181855211419E-2</v>
      </c>
      <c r="H27" s="75">
        <f>AVERAGE(C27:G27)</f>
        <v>0.10331592768061708</v>
      </c>
      <c r="I27" s="75">
        <f>H27</f>
        <v>0.10331592768061708</v>
      </c>
      <c r="J27" s="75">
        <f t="shared" ref="J27:L27" si="21">I27</f>
        <v>0.10331592768061708</v>
      </c>
      <c r="K27" s="75">
        <f t="shared" si="21"/>
        <v>0.10331592768061708</v>
      </c>
      <c r="L27" s="75">
        <f t="shared" si="21"/>
        <v>0.10331592768061708</v>
      </c>
    </row>
    <row r="28" spans="2:12" x14ac:dyDescent="0.2">
      <c r="B28" s="29" t="s">
        <v>29</v>
      </c>
      <c r="C28" s="75">
        <f>C12/C11</f>
        <v>0.28655623927876978</v>
      </c>
      <c r="D28" s="75">
        <f t="shared" ref="D28:G28" si="22">D12/D11</f>
        <v>0.25762327341557628</v>
      </c>
      <c r="E28" s="75">
        <f t="shared" si="22"/>
        <v>0.25166566275539198</v>
      </c>
      <c r="F28" s="75">
        <f t="shared" si="22"/>
        <v>0.27617067013168234</v>
      </c>
      <c r="G28" s="75">
        <f t="shared" si="22"/>
        <v>0.28187345332152275</v>
      </c>
      <c r="H28" s="75">
        <v>0.3</v>
      </c>
      <c r="I28" s="75">
        <f>H28</f>
        <v>0.3</v>
      </c>
      <c r="J28" s="75">
        <f t="shared" ref="J28:L28" si="23">I28</f>
        <v>0.3</v>
      </c>
      <c r="K28" s="75">
        <f t="shared" si="23"/>
        <v>0.3</v>
      </c>
      <c r="L28" s="75">
        <f t="shared" si="23"/>
        <v>0.3</v>
      </c>
    </row>
    <row r="30" spans="2:12" x14ac:dyDescent="0.2">
      <c r="H30" s="8"/>
    </row>
    <row r="97" spans="5:7" x14ac:dyDescent="0.2">
      <c r="E97">
        <v>2020</v>
      </c>
      <c r="F97" s="29" t="s">
        <v>87</v>
      </c>
      <c r="G97" t="s">
        <v>14</v>
      </c>
    </row>
    <row r="98" spans="5:7" x14ac:dyDescent="0.2">
      <c r="F98">
        <v>156949</v>
      </c>
      <c r="G98">
        <f>119293-924</f>
        <v>118369</v>
      </c>
    </row>
  </sheetData>
  <pageMargins left="0.7" right="0.7" top="0.75" bottom="0.75" header="0.3" footer="0.3"/>
  <pageSetup paperSize="9" orientation="portrait" horizontalDpi="0" verticalDpi="0"/>
  <ignoredErrors>
    <ignoredError sqref="C8:D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81D7-F745-A344-AECD-90DD0E124319}">
  <dimension ref="B3:T144"/>
  <sheetViews>
    <sheetView showGridLines="0" zoomScale="125" workbookViewId="0">
      <selection activeCell="J17" sqref="J17"/>
    </sheetView>
  </sheetViews>
  <sheetFormatPr baseColWidth="10" defaultRowHeight="16" x14ac:dyDescent="0.2"/>
  <cols>
    <col min="2" max="2" width="24.6640625" customWidth="1"/>
    <col min="3" max="3" width="9" hidden="1" customWidth="1"/>
  </cols>
  <sheetData>
    <row r="3" spans="2:13" x14ac:dyDescent="0.2">
      <c r="B3" s="16" t="s">
        <v>31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2:13" x14ac:dyDescent="0.2">
      <c r="B4" s="17" t="s">
        <v>9</v>
      </c>
      <c r="C4" s="17">
        <v>2020</v>
      </c>
      <c r="D4" s="17">
        <f>C4+1</f>
        <v>2021</v>
      </c>
      <c r="E4" s="17">
        <f t="shared" ref="E4:J4" si="0">D4+1</f>
        <v>2022</v>
      </c>
      <c r="F4" s="17">
        <f t="shared" si="0"/>
        <v>2023</v>
      </c>
      <c r="G4" s="17">
        <f t="shared" si="0"/>
        <v>2024</v>
      </c>
      <c r="H4" s="17">
        <f t="shared" si="0"/>
        <v>2025</v>
      </c>
      <c r="I4" s="17">
        <f t="shared" si="0"/>
        <v>2026</v>
      </c>
      <c r="J4" s="17">
        <f t="shared" si="0"/>
        <v>2027</v>
      </c>
      <c r="K4" s="35">
        <v>2028</v>
      </c>
      <c r="L4" s="35">
        <v>2029</v>
      </c>
      <c r="M4" s="35">
        <v>2030</v>
      </c>
    </row>
    <row r="5" spans="2:13" x14ac:dyDescent="0.2">
      <c r="B5" s="19" t="s">
        <v>32</v>
      </c>
      <c r="C5" s="7">
        <f>'Financials of TCS'!C16-'Financials of TCS'!C24-'Financials of TCS'!C25</f>
        <v>18650</v>
      </c>
      <c r="D5" s="32">
        <f>C8</f>
        <v>18370</v>
      </c>
      <c r="E5" s="32">
        <f>D8</f>
        <v>17481</v>
      </c>
      <c r="F5" s="32">
        <f t="shared" ref="F5:H5" si="1">E8</f>
        <v>15872</v>
      </c>
      <c r="G5" s="32">
        <f t="shared" si="1"/>
        <v>13950</v>
      </c>
      <c r="H5" s="32">
        <f t="shared" si="1"/>
        <v>11639</v>
      </c>
      <c r="I5" s="37">
        <f>H8</f>
        <v>10334</v>
      </c>
      <c r="J5" s="37">
        <f t="shared" ref="J5:M5" si="2">I8</f>
        <v>9379.258649780304</v>
      </c>
      <c r="K5" s="37">
        <f t="shared" si="2"/>
        <v>8512.7242906404736</v>
      </c>
      <c r="L5" s="37">
        <f t="shared" si="2"/>
        <v>7726.2476230099246</v>
      </c>
      <c r="M5" s="37">
        <f t="shared" si="2"/>
        <v>7012.4322477704991</v>
      </c>
    </row>
    <row r="6" spans="2:13" x14ac:dyDescent="0.2">
      <c r="B6" s="19" t="s">
        <v>33</v>
      </c>
      <c r="C6" s="32">
        <v>3529</v>
      </c>
      <c r="D6" s="36">
        <f>FCFF!C10</f>
        <v>4065</v>
      </c>
      <c r="E6" s="36">
        <f>FCFF!D10</f>
        <v>4604</v>
      </c>
      <c r="F6" s="36">
        <f>FCFF!E10</f>
        <v>5022</v>
      </c>
      <c r="G6" s="36">
        <f>FCFF!F10</f>
        <v>4985</v>
      </c>
      <c r="H6" s="36">
        <f>FCFF!G10</f>
        <v>5242</v>
      </c>
      <c r="I6" s="38">
        <f>I5*I12</f>
        <v>3096.7814087557049</v>
      </c>
      <c r="J6" s="38">
        <f t="shared" ref="J6:M6" si="3">J5*J12</f>
        <v>2810.6748417409312</v>
      </c>
      <c r="K6" s="38">
        <f t="shared" si="3"/>
        <v>2551.0011922893859</v>
      </c>
      <c r="L6" s="38">
        <f t="shared" si="3"/>
        <v>2315.3183664002413</v>
      </c>
      <c r="M6" s="38">
        <f t="shared" si="3"/>
        <v>2101.4098911413453</v>
      </c>
    </row>
    <row r="7" spans="2:13" x14ac:dyDescent="0.2">
      <c r="B7" s="19" t="s">
        <v>34</v>
      </c>
      <c r="C7" s="37">
        <f>2538+519+192</f>
        <v>3249</v>
      </c>
      <c r="D7" s="19">
        <f>FCFF!C15</f>
        <v>3176</v>
      </c>
      <c r="E7" s="19">
        <f>FCFF!D15</f>
        <v>2995</v>
      </c>
      <c r="F7" s="19">
        <f>FCFF!E15</f>
        <v>3100</v>
      </c>
      <c r="G7" s="19">
        <f>FCFF!F15</f>
        <v>2674</v>
      </c>
      <c r="H7" s="19">
        <f>FCFF!G15</f>
        <v>3937</v>
      </c>
      <c r="I7" s="38">
        <f>I5*I13</f>
        <v>2142.0400585360089</v>
      </c>
      <c r="J7" s="38">
        <f t="shared" ref="J7:M7" si="4">J5*J13</f>
        <v>1944.1404826011003</v>
      </c>
      <c r="K7" s="38">
        <f t="shared" si="4"/>
        <v>1764.5245246588374</v>
      </c>
      <c r="L7" s="38">
        <f t="shared" si="4"/>
        <v>1601.5029911608167</v>
      </c>
      <c r="M7" s="38">
        <f t="shared" si="4"/>
        <v>1453.5427503865026</v>
      </c>
    </row>
    <row r="8" spans="2:13" x14ac:dyDescent="0.2">
      <c r="B8" s="39" t="s">
        <v>35</v>
      </c>
      <c r="C8" s="40">
        <f>C5-C6+C7</f>
        <v>18370</v>
      </c>
      <c r="D8" s="40">
        <f t="shared" ref="D8:H8" si="5">D5-D6+D7</f>
        <v>17481</v>
      </c>
      <c r="E8" s="40">
        <f t="shared" si="5"/>
        <v>15872</v>
      </c>
      <c r="F8" s="40">
        <f t="shared" si="5"/>
        <v>13950</v>
      </c>
      <c r="G8" s="40">
        <f t="shared" si="5"/>
        <v>11639</v>
      </c>
      <c r="H8" s="40">
        <f t="shared" si="5"/>
        <v>10334</v>
      </c>
      <c r="I8" s="40">
        <f>I5-I6+I7</f>
        <v>9379.258649780304</v>
      </c>
      <c r="J8" s="40">
        <f t="shared" ref="J8:M8" si="6">J5-J6+J7</f>
        <v>8512.7242906404736</v>
      </c>
      <c r="K8" s="40">
        <f t="shared" si="6"/>
        <v>7726.2476230099246</v>
      </c>
      <c r="L8" s="40">
        <f t="shared" si="6"/>
        <v>7012.4322477704991</v>
      </c>
      <c r="M8" s="40">
        <f t="shared" si="6"/>
        <v>6364.5651070156564</v>
      </c>
    </row>
    <row r="9" spans="2:13" x14ac:dyDescent="0.2">
      <c r="B9" s="19"/>
      <c r="C9" s="19"/>
      <c r="D9" s="19"/>
      <c r="E9" s="37"/>
      <c r="F9" s="19"/>
      <c r="G9" s="19"/>
      <c r="H9" s="19"/>
      <c r="I9" s="19"/>
      <c r="J9" s="19"/>
      <c r="K9" s="19"/>
      <c r="L9" s="19"/>
    </row>
    <row r="10" spans="2:13" x14ac:dyDescent="0.2">
      <c r="B10" s="16" t="s">
        <v>26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2:13" x14ac:dyDescent="0.2">
      <c r="B11" s="17" t="s">
        <v>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2:13" x14ac:dyDescent="0.2">
      <c r="B12" s="29" t="s">
        <v>36</v>
      </c>
      <c r="C12" s="31">
        <f>C6/C5</f>
        <v>0.18922252010723861</v>
      </c>
      <c r="D12" s="31">
        <f t="shared" ref="D12:H12" si="7">D6/D5</f>
        <v>0.22128470332063147</v>
      </c>
      <c r="E12" s="31">
        <f t="shared" si="7"/>
        <v>0.26337166066014528</v>
      </c>
      <c r="F12" s="31">
        <f t="shared" si="7"/>
        <v>0.31640625</v>
      </c>
      <c r="G12" s="31">
        <f t="shared" si="7"/>
        <v>0.35734767025089603</v>
      </c>
      <c r="H12" s="31">
        <f t="shared" si="7"/>
        <v>0.45038233525216942</v>
      </c>
      <c r="I12" s="31">
        <f>AVERAGE(C12:H12)</f>
        <v>0.29966918993184682</v>
      </c>
      <c r="J12" s="31">
        <f>I12</f>
        <v>0.29966918993184682</v>
      </c>
      <c r="K12" s="31">
        <f t="shared" ref="K12:M12" si="8">J12</f>
        <v>0.29966918993184682</v>
      </c>
      <c r="L12" s="31">
        <f t="shared" si="8"/>
        <v>0.29966918993184682</v>
      </c>
      <c r="M12" s="31">
        <f t="shared" si="8"/>
        <v>0.29966918993184682</v>
      </c>
    </row>
    <row r="13" spans="2:13" x14ac:dyDescent="0.2">
      <c r="B13" s="29" t="s">
        <v>37</v>
      </c>
      <c r="C13" s="31">
        <f>C7/C5</f>
        <v>0.17420911528150135</v>
      </c>
      <c r="D13" s="31">
        <f t="shared" ref="D13:H13" si="9">D7/D5</f>
        <v>0.17289058247142081</v>
      </c>
      <c r="E13" s="31">
        <f t="shared" si="9"/>
        <v>0.17132887134603283</v>
      </c>
      <c r="F13" s="31">
        <f t="shared" si="9"/>
        <v>0.1953125</v>
      </c>
      <c r="G13" s="31">
        <f t="shared" si="9"/>
        <v>0.19168458781362008</v>
      </c>
      <c r="H13" s="31">
        <f t="shared" si="9"/>
        <v>0.33825930062720166</v>
      </c>
      <c r="I13" s="31">
        <f>AVERAGE(C13:H13)</f>
        <v>0.20728082625662947</v>
      </c>
      <c r="J13" s="31">
        <f>I13</f>
        <v>0.20728082625662947</v>
      </c>
      <c r="K13" s="31">
        <f t="shared" ref="K13:M13" si="10">J13</f>
        <v>0.20728082625662947</v>
      </c>
      <c r="L13" s="31">
        <f t="shared" si="10"/>
        <v>0.20728082625662947</v>
      </c>
      <c r="M13" s="31">
        <f t="shared" si="10"/>
        <v>0.20728082625662947</v>
      </c>
    </row>
    <row r="25" spans="8:8" x14ac:dyDescent="0.2">
      <c r="H25" s="7"/>
    </row>
    <row r="144" spans="16:20" x14ac:dyDescent="0.2">
      <c r="P144" s="7">
        <f>'Financials of TCS'!D16-'Financials of TCS'!D24-'Financials of TCS'!D25</f>
        <v>18361</v>
      </c>
      <c r="Q144" s="7">
        <f>'Financials of TCS'!E16-'Financials of TCS'!E24-'Financials of TCS'!E25</f>
        <v>17693</v>
      </c>
      <c r="R144" s="7">
        <f>'Financials of TCS'!F16-'Financials of TCS'!F24-'Financials of TCS'!F25</f>
        <v>16639</v>
      </c>
      <c r="S144" s="7">
        <f>'Financials of TCS'!G16-'Financials of TCS'!G24-'Financials of TCS'!G25</f>
        <v>15641</v>
      </c>
      <c r="T144" s="7">
        <f>'Financials of TCS'!H16-'Financials of TCS'!H24-'Financials of TCS'!H25</f>
        <v>18059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8AAB-DF40-AA48-B9AC-57335568361C}">
  <dimension ref="C3:N30"/>
  <sheetViews>
    <sheetView showGridLines="0" zoomScale="125" workbookViewId="0">
      <selection activeCell="C16" sqref="C16"/>
    </sheetView>
  </sheetViews>
  <sheetFormatPr baseColWidth="10" defaultRowHeight="16" x14ac:dyDescent="0.2"/>
  <cols>
    <col min="3" max="3" width="42.1640625" bestFit="1" customWidth="1"/>
  </cols>
  <sheetData>
    <row r="3" spans="3:14" x14ac:dyDescent="0.2">
      <c r="C3" s="16" t="s">
        <v>265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3:14" x14ac:dyDescent="0.2">
      <c r="C4" s="17" t="s">
        <v>9</v>
      </c>
      <c r="D4" s="17">
        <v>2020</v>
      </c>
      <c r="E4" s="17">
        <f>D4+1</f>
        <v>2021</v>
      </c>
      <c r="F4" s="17">
        <f t="shared" ref="F4:N4" si="0">E4+1</f>
        <v>2022</v>
      </c>
      <c r="G4" s="17">
        <f t="shared" si="0"/>
        <v>2023</v>
      </c>
      <c r="H4" s="17">
        <f t="shared" si="0"/>
        <v>2024</v>
      </c>
      <c r="I4" s="17">
        <f t="shared" si="0"/>
        <v>2025</v>
      </c>
      <c r="J4" s="17">
        <f t="shared" si="0"/>
        <v>2026</v>
      </c>
      <c r="K4" s="17">
        <f t="shared" si="0"/>
        <v>2027</v>
      </c>
      <c r="L4" s="17">
        <f t="shared" si="0"/>
        <v>2028</v>
      </c>
      <c r="M4" s="17">
        <f t="shared" si="0"/>
        <v>2029</v>
      </c>
      <c r="N4" s="17">
        <f t="shared" si="0"/>
        <v>2030</v>
      </c>
    </row>
    <row r="5" spans="3:14" x14ac:dyDescent="0.2">
      <c r="C5" s="19" t="s">
        <v>38</v>
      </c>
      <c r="D5" s="37">
        <f>'Financials of TCS'!C32</f>
        <v>30532</v>
      </c>
      <c r="E5" s="37">
        <f>'Financials of TCS'!D32</f>
        <v>30079</v>
      </c>
      <c r="F5" s="37">
        <f>'Financials of TCS'!E32</f>
        <v>41810</v>
      </c>
      <c r="G5" s="37">
        <f>'Financials of TCS'!F32</f>
        <v>49954</v>
      </c>
      <c r="H5" s="37">
        <f>'Financials of TCS'!G32</f>
        <v>53577</v>
      </c>
      <c r="I5" s="37">
        <f>'Financials of TCS'!H32</f>
        <v>59046</v>
      </c>
      <c r="J5" s="42">
        <f>J22*J18/360</f>
        <v>58543.649575414282</v>
      </c>
      <c r="K5" s="42">
        <f>K22*K18/360</f>
        <v>62641.705045693285</v>
      </c>
      <c r="L5" s="42">
        <f>L22*L18/360</f>
        <v>67339.832924120288</v>
      </c>
      <c r="M5" s="42">
        <f>M22*M18/360</f>
        <v>72727.019558049898</v>
      </c>
      <c r="N5" s="42">
        <f>N22*N18/360</f>
        <v>78545.181122693903</v>
      </c>
    </row>
    <row r="6" spans="3:14" x14ac:dyDescent="0.2">
      <c r="C6" s="19" t="s">
        <v>85</v>
      </c>
      <c r="D6" s="19">
        <v>744</v>
      </c>
      <c r="E6" s="41">
        <v>615</v>
      </c>
      <c r="F6">
        <v>648</v>
      </c>
      <c r="G6">
        <v>720</v>
      </c>
      <c r="H6" s="41">
        <v>764</v>
      </c>
      <c r="I6" s="41">
        <v>888</v>
      </c>
      <c r="J6" s="42">
        <f>J24*J18/360</f>
        <v>922.80166587319252</v>
      </c>
      <c r="K6" s="42">
        <f>K24*K18/360</f>
        <v>987.39778248431605</v>
      </c>
      <c r="L6" s="42">
        <f>L24*L18/360</f>
        <v>1061.4526161706399</v>
      </c>
      <c r="M6" s="42">
        <f>M24*M18/360</f>
        <v>1146.3688254642909</v>
      </c>
      <c r="N6" s="42">
        <f>N24*N18/360</f>
        <v>1238.0783315014344</v>
      </c>
    </row>
    <row r="7" spans="3:14" x14ac:dyDescent="0.2">
      <c r="C7" s="19" t="s">
        <v>39</v>
      </c>
      <c r="D7">
        <v>8206</v>
      </c>
      <c r="E7">
        <v>11236</v>
      </c>
      <c r="F7" s="41">
        <f>10151-F8</f>
        <v>7157</v>
      </c>
      <c r="G7" s="41">
        <f>9707-G8</f>
        <v>8213</v>
      </c>
      <c r="H7" s="41">
        <f>12267-H8</f>
        <v>10212</v>
      </c>
      <c r="I7" s="41">
        <f>14784-I8</f>
        <v>12401</v>
      </c>
      <c r="J7" s="42">
        <f>J18*J26</f>
        <v>12679.751579385618</v>
      </c>
      <c r="K7" s="42">
        <f>K18*K26</f>
        <v>12298.313395983663</v>
      </c>
      <c r="L7" s="42">
        <f>L18*L26</f>
        <v>13530.022208580171</v>
      </c>
      <c r="M7" s="42">
        <f>M18*M26</f>
        <v>15073.841917710963</v>
      </c>
      <c r="N7" s="42">
        <f>N18*N26</f>
        <v>16442.5730517622</v>
      </c>
    </row>
    <row r="8" spans="3:14" x14ac:dyDescent="0.2">
      <c r="C8" s="36" t="s">
        <v>40</v>
      </c>
      <c r="D8" s="19">
        <v>389</v>
      </c>
      <c r="E8" s="41">
        <v>621</v>
      </c>
      <c r="F8" s="41">
        <v>2994</v>
      </c>
      <c r="G8" s="41">
        <v>1494</v>
      </c>
      <c r="H8" s="41">
        <v>2055</v>
      </c>
      <c r="I8" s="41">
        <v>2383</v>
      </c>
      <c r="J8" s="42">
        <f>J29*J20</f>
        <v>2707.8288566611291</v>
      </c>
      <c r="K8" s="42">
        <f>K29*K20</f>
        <v>2897.3768766274079</v>
      </c>
      <c r="L8" s="42">
        <f>L29*L20</f>
        <v>3114.6801423744637</v>
      </c>
      <c r="M8" s="42">
        <f>M29*M20</f>
        <v>3363.8545537644213</v>
      </c>
      <c r="N8" s="42">
        <f>N29*N20</f>
        <v>3632.9629180655747</v>
      </c>
    </row>
    <row r="9" spans="3:14" x14ac:dyDescent="0.2">
      <c r="C9" s="39" t="s">
        <v>23</v>
      </c>
      <c r="D9" s="43">
        <f>D5+D7+D8+D6</f>
        <v>39871</v>
      </c>
      <c r="E9" s="43">
        <f t="shared" ref="E9:I9" si="1">E5+E7+E8+E6</f>
        <v>42551</v>
      </c>
      <c r="F9" s="43">
        <f t="shared" si="1"/>
        <v>52609</v>
      </c>
      <c r="G9" s="43">
        <f t="shared" si="1"/>
        <v>60381</v>
      </c>
      <c r="H9" s="43">
        <f t="shared" si="1"/>
        <v>66608</v>
      </c>
      <c r="I9" s="43">
        <f t="shared" si="1"/>
        <v>74718</v>
      </c>
      <c r="J9" s="43">
        <f>J5+J6+J7+J8</f>
        <v>74854.03167733422</v>
      </c>
      <c r="K9" s="43">
        <f t="shared" ref="K9:N9" si="2">K5+K6+K7+K8</f>
        <v>78824.793100788665</v>
      </c>
      <c r="L9" s="43">
        <f t="shared" si="2"/>
        <v>85045.987891245561</v>
      </c>
      <c r="M9" s="43">
        <f t="shared" si="2"/>
        <v>92311.084854989575</v>
      </c>
      <c r="N9" s="43">
        <f t="shared" si="2"/>
        <v>99858.795424023119</v>
      </c>
    </row>
    <row r="10" spans="3:14" x14ac:dyDescent="0.2">
      <c r="C10" s="19" t="s">
        <v>7</v>
      </c>
      <c r="D10" s="37">
        <v>6740</v>
      </c>
      <c r="E10" s="41">
        <v>7860</v>
      </c>
      <c r="F10" s="41">
        <v>2079</v>
      </c>
      <c r="G10">
        <v>3759</v>
      </c>
      <c r="H10" s="41">
        <v>9981</v>
      </c>
      <c r="I10" s="41">
        <v>13909</v>
      </c>
      <c r="J10" s="42">
        <f>J23*J19/360</f>
        <v>9253.5578132231858</v>
      </c>
      <c r="K10" s="42">
        <f>K23*K19/360</f>
        <v>9901.3068601488085</v>
      </c>
      <c r="L10" s="42">
        <f>L23*L19/360</f>
        <v>10643.904874659969</v>
      </c>
      <c r="M10" s="42">
        <f>M23*M19/360</f>
        <v>11495.417264632766</v>
      </c>
      <c r="N10" s="42">
        <f>N23*N19/360</f>
        <v>12415.050645803389</v>
      </c>
    </row>
    <row r="11" spans="3:14" x14ac:dyDescent="0.2">
      <c r="C11" s="19" t="s">
        <v>41</v>
      </c>
      <c r="D11" s="37">
        <v>3907</v>
      </c>
      <c r="E11" s="41">
        <v>4482</v>
      </c>
      <c r="F11" s="41">
        <v>5966</v>
      </c>
      <c r="G11" s="41">
        <v>6756</v>
      </c>
      <c r="H11" s="41">
        <v>5760</v>
      </c>
      <c r="I11" s="41">
        <v>5456</v>
      </c>
      <c r="J11" s="42">
        <f>J30*J20</f>
        <v>6199.7122290990847</v>
      </c>
      <c r="K11" s="42">
        <f>K30*K20</f>
        <v>6633.692085136021</v>
      </c>
      <c r="L11" s="42">
        <f>L30*L20</f>
        <v>7131.2189915212221</v>
      </c>
      <c r="M11" s="42">
        <f>M30*M20</f>
        <v>7701.7165108429208</v>
      </c>
      <c r="N11" s="42">
        <f>N30*N20</f>
        <v>8317.8538317103539</v>
      </c>
    </row>
    <row r="12" spans="3:14" x14ac:dyDescent="0.2">
      <c r="C12" s="19" t="s">
        <v>42</v>
      </c>
      <c r="D12" s="37">
        <v>2915</v>
      </c>
      <c r="E12" s="41">
        <v>3650</v>
      </c>
      <c r="F12" s="41">
        <v>3635</v>
      </c>
      <c r="G12" s="41">
        <v>3843</v>
      </c>
      <c r="H12" s="41">
        <v>3640</v>
      </c>
      <c r="I12" s="41">
        <v>4028</v>
      </c>
      <c r="J12" s="42">
        <f>J28*J18</f>
        <v>4289.82</v>
      </c>
      <c r="K12" s="42">
        <f>K28*K18</f>
        <v>4590.107399999999</v>
      </c>
      <c r="L12" s="42">
        <f>L28*L18</f>
        <v>4934.3654549999992</v>
      </c>
      <c r="M12" s="42">
        <f>M28*M18</f>
        <v>5329.1146913999992</v>
      </c>
      <c r="N12" s="42">
        <f>N28*N18</f>
        <v>5755.4438667120003</v>
      </c>
    </row>
    <row r="13" spans="3:14" x14ac:dyDescent="0.2">
      <c r="C13" s="19" t="s">
        <v>1</v>
      </c>
      <c r="D13" s="37">
        <v>3283</v>
      </c>
      <c r="E13" s="41">
        <v>4068</v>
      </c>
      <c r="F13" s="41">
        <v>8392</v>
      </c>
      <c r="G13" s="41">
        <v>4892</v>
      </c>
      <c r="H13" s="41">
        <v>6524</v>
      </c>
      <c r="I13" s="41">
        <v>7188</v>
      </c>
      <c r="J13" s="42">
        <f>J27*J18</f>
        <v>7655.2199999999993</v>
      </c>
      <c r="K13" s="42">
        <f>K27*K18</f>
        <v>8191.085399999999</v>
      </c>
      <c r="L13" s="42">
        <f>L27*L18</f>
        <v>8805.4168049999989</v>
      </c>
      <c r="M13" s="42">
        <f>M27*M18</f>
        <v>9509.8501493999993</v>
      </c>
      <c r="N13" s="42">
        <f>N27*N18</f>
        <v>10270.638161352001</v>
      </c>
    </row>
    <row r="14" spans="3:14" x14ac:dyDescent="0.2">
      <c r="C14" s="39" t="s">
        <v>43</v>
      </c>
      <c r="D14" s="43">
        <f>D13+D12+D11+D10</f>
        <v>16845</v>
      </c>
      <c r="E14" s="43">
        <f>E13+E12+E11+E10</f>
        <v>20060</v>
      </c>
      <c r="F14" s="43">
        <f t="shared" ref="F14:I14" si="3">F13+F12+F11+F10</f>
        <v>20072</v>
      </c>
      <c r="G14" s="43">
        <f t="shared" si="3"/>
        <v>19250</v>
      </c>
      <c r="H14" s="43">
        <f t="shared" si="3"/>
        <v>25905</v>
      </c>
      <c r="I14" s="43">
        <f t="shared" si="3"/>
        <v>30581</v>
      </c>
      <c r="J14" s="43">
        <f>J10+J11+J12+J13</f>
        <v>27398.310042322271</v>
      </c>
      <c r="K14" s="43">
        <f>K10+K11+K12+K13</f>
        <v>29316.191745284832</v>
      </c>
      <c r="L14" s="43">
        <f t="shared" ref="L14:N14" si="4">L10+L11+L12+L13</f>
        <v>31514.906126181188</v>
      </c>
      <c r="M14" s="43">
        <f t="shared" si="4"/>
        <v>34036.098616275682</v>
      </c>
      <c r="N14" s="43">
        <f t="shared" si="4"/>
        <v>36758.986505577748</v>
      </c>
    </row>
    <row r="15" spans="3:14" x14ac:dyDescent="0.2"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spans="3:14" x14ac:dyDescent="0.2">
      <c r="C16" s="16" t="s">
        <v>26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3:14" x14ac:dyDescent="0.2">
      <c r="C17" s="17" t="s">
        <v>9</v>
      </c>
      <c r="D17" s="17">
        <v>2020</v>
      </c>
      <c r="E17" s="17">
        <v>2021</v>
      </c>
      <c r="F17" s="17">
        <v>2022</v>
      </c>
      <c r="G17" s="17">
        <v>2023</v>
      </c>
      <c r="H17" s="17">
        <v>2024</v>
      </c>
      <c r="I17" s="17">
        <v>2025</v>
      </c>
      <c r="J17" s="17">
        <v>2026</v>
      </c>
      <c r="K17" s="17">
        <v>2027</v>
      </c>
      <c r="L17" s="17">
        <v>2028</v>
      </c>
      <c r="M17" s="17">
        <v>2029</v>
      </c>
      <c r="N17" s="35">
        <v>2030</v>
      </c>
    </row>
    <row r="18" spans="3:14" x14ac:dyDescent="0.2">
      <c r="C18" s="29" t="s">
        <v>13</v>
      </c>
      <c r="D18" s="44"/>
      <c r="E18" s="44">
        <f>FCFF!C5</f>
        <v>164177</v>
      </c>
      <c r="F18" s="44">
        <f>FCFF!D5</f>
        <v>191754</v>
      </c>
      <c r="G18" s="44">
        <f>FCFF!E5</f>
        <v>225458</v>
      </c>
      <c r="H18" s="44">
        <f>FCFF!F5</f>
        <v>240893</v>
      </c>
      <c r="I18" s="44">
        <f>FCFF!G5</f>
        <v>255324</v>
      </c>
      <c r="J18" s="44">
        <f>FCFF!H5</f>
        <v>271920.06</v>
      </c>
      <c r="K18" s="44">
        <f>FCFF!I5</f>
        <v>290954.46419999999</v>
      </c>
      <c r="L18" s="44">
        <f>FCFF!J5</f>
        <v>312776.049015</v>
      </c>
      <c r="M18" s="44">
        <f>FCFF!K5</f>
        <v>337798.13293620001</v>
      </c>
      <c r="N18" s="44">
        <f>FCFF!L5</f>
        <v>364821.98357109603</v>
      </c>
    </row>
    <row r="19" spans="3:14" x14ac:dyDescent="0.2">
      <c r="C19" s="29" t="s">
        <v>14</v>
      </c>
      <c r="D19" s="44"/>
      <c r="E19" s="45">
        <f>FCFF!C6</f>
        <v>99986.349999999991</v>
      </c>
      <c r="F19" s="45">
        <f>FCFF!D6</f>
        <v>116505.48</v>
      </c>
      <c r="G19" s="45">
        <f>FCFF!E6</f>
        <v>139607.16</v>
      </c>
      <c r="H19" s="45">
        <f>FCFF!F6</f>
        <v>151873.41999999998</v>
      </c>
      <c r="I19" s="45">
        <f>FCFF!G6</f>
        <v>165366.96</v>
      </c>
      <c r="J19" s="45">
        <f>FCFF!H6</f>
        <v>169348.78206754843</v>
      </c>
      <c r="K19" s="45">
        <f>FCFF!I6</f>
        <v>181203.19681227682</v>
      </c>
      <c r="L19" s="45">
        <f>FCFF!J6</f>
        <v>194793.43657319757</v>
      </c>
      <c r="M19" s="45">
        <f>FCFF!K6</f>
        <v>210376.91149905339</v>
      </c>
      <c r="N19" s="45">
        <f>FCFF!L6</f>
        <v>227207.06441897768</v>
      </c>
    </row>
    <row r="20" spans="3:14" x14ac:dyDescent="0.2">
      <c r="C20" s="76" t="s">
        <v>51</v>
      </c>
      <c r="D20" s="76"/>
      <c r="E20" s="77">
        <f>FCFF!C8</f>
        <v>19522.800000000003</v>
      </c>
      <c r="F20" s="77">
        <f>FCFF!D8</f>
        <v>17644.649999999998</v>
      </c>
      <c r="G20" s="77">
        <f>FCFF!E8</f>
        <v>22191.52</v>
      </c>
      <c r="H20" s="77">
        <f>FCFF!F8</f>
        <v>26591.84</v>
      </c>
      <c r="I20" s="77">
        <f>FCFF!G8</f>
        <v>24723.58</v>
      </c>
      <c r="J20" s="77">
        <f>FCFF!H8</f>
        <v>28093.673253869056</v>
      </c>
      <c r="K20" s="77">
        <f>FCFF!I8</f>
        <v>30060.230381639889</v>
      </c>
      <c r="L20" s="77">
        <f>FCFF!J8</f>
        <v>32314.747660262881</v>
      </c>
      <c r="M20" s="77">
        <f>FCFF!K8</f>
        <v>34899.927473083917</v>
      </c>
      <c r="N20" s="77">
        <f>FCFF!L8</f>
        <v>37691.921670930627</v>
      </c>
    </row>
    <row r="21" spans="3:14" x14ac:dyDescent="0.2">
      <c r="C21" s="76"/>
      <c r="D21" s="76"/>
      <c r="E21" s="77"/>
      <c r="F21" s="77"/>
      <c r="G21" s="77"/>
      <c r="H21" s="77"/>
      <c r="I21" s="77"/>
      <c r="J21" s="77"/>
      <c r="K21" s="77"/>
      <c r="L21" s="77"/>
      <c r="M21" s="77"/>
      <c r="N21" s="77"/>
    </row>
    <row r="22" spans="3:14" x14ac:dyDescent="0.2">
      <c r="C22" s="29" t="s">
        <v>44</v>
      </c>
      <c r="D22" s="46"/>
      <c r="E22" s="46">
        <f>E5/E18*360</f>
        <v>65.955889070941723</v>
      </c>
      <c r="F22" s="46">
        <f>F5/F18*360</f>
        <v>78.49432084858725</v>
      </c>
      <c r="G22" s="46">
        <f>G5/G18*360</f>
        <v>79.764035873643877</v>
      </c>
      <c r="H22" s="46">
        <f>H5/H18*360</f>
        <v>80.067581872449594</v>
      </c>
      <c r="I22" s="46">
        <f>I5/I18*360</f>
        <v>83.253278187714443</v>
      </c>
      <c r="J22" s="46">
        <f>AVERAGE(E22:I22)</f>
        <v>77.507021170667372</v>
      </c>
      <c r="K22" s="46">
        <f>J22</f>
        <v>77.507021170667372</v>
      </c>
      <c r="L22" s="46">
        <f t="shared" ref="L22:N22" si="5">K22</f>
        <v>77.507021170667372</v>
      </c>
      <c r="M22" s="46">
        <f t="shared" si="5"/>
        <v>77.507021170667372</v>
      </c>
      <c r="N22" s="46">
        <f t="shared" si="5"/>
        <v>77.507021170667372</v>
      </c>
    </row>
    <row r="23" spans="3:14" x14ac:dyDescent="0.2">
      <c r="C23" s="29" t="s">
        <v>45</v>
      </c>
      <c r="D23" s="46"/>
      <c r="E23" s="46">
        <f>E10/E19*360</f>
        <v>28.299862931290125</v>
      </c>
      <c r="F23" s="46">
        <f>F10/F19*360</f>
        <v>6.4240755027145502</v>
      </c>
      <c r="G23" s="46">
        <f>G10/G19*360</f>
        <v>9.6931991167215195</v>
      </c>
      <c r="H23" s="46">
        <f>H10/H19*360</f>
        <v>23.658912797249183</v>
      </c>
      <c r="I23" s="46">
        <f>I10/I19*360</f>
        <v>30.279567333160145</v>
      </c>
      <c r="J23" s="46">
        <f>AVERAGE(E23:I23)</f>
        <v>19.671123536227107</v>
      </c>
      <c r="K23" s="46">
        <f t="shared" ref="K23:N24" si="6">J23</f>
        <v>19.671123536227107</v>
      </c>
      <c r="L23" s="46">
        <f t="shared" si="6"/>
        <v>19.671123536227107</v>
      </c>
      <c r="M23" s="46">
        <f t="shared" si="6"/>
        <v>19.671123536227107</v>
      </c>
      <c r="N23" s="46">
        <f t="shared" si="6"/>
        <v>19.671123536227107</v>
      </c>
    </row>
    <row r="24" spans="3:14" x14ac:dyDescent="0.2">
      <c r="C24" s="29" t="s">
        <v>46</v>
      </c>
      <c r="D24" s="29"/>
      <c r="E24" s="46">
        <f>E6/E18*360</f>
        <v>1.3485445586166149</v>
      </c>
      <c r="F24" s="46">
        <f>F6/F18*360</f>
        <v>1.2165587158546887</v>
      </c>
      <c r="G24" s="46">
        <f>G6/G18*360</f>
        <v>1.1496598035997836</v>
      </c>
      <c r="H24" s="46">
        <f>H6/H18*360</f>
        <v>1.1417517320968231</v>
      </c>
      <c r="I24" s="46">
        <f>I6/I18*360</f>
        <v>1.2520562109319922</v>
      </c>
      <c r="J24" s="46">
        <f>AVERAGE(E24:I24)</f>
        <v>1.2217142042199804</v>
      </c>
      <c r="K24" s="46">
        <f t="shared" si="6"/>
        <v>1.2217142042199804</v>
      </c>
      <c r="L24" s="46">
        <f t="shared" si="6"/>
        <v>1.2217142042199804</v>
      </c>
      <c r="M24" s="46">
        <f t="shared" si="6"/>
        <v>1.2217142042199804</v>
      </c>
      <c r="N24" s="46">
        <f t="shared" si="6"/>
        <v>1.2217142042199804</v>
      </c>
    </row>
    <row r="25" spans="3:14" x14ac:dyDescent="0.2"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1"/>
      <c r="N25" s="31"/>
    </row>
    <row r="26" spans="3:14" x14ac:dyDescent="0.2">
      <c r="C26" s="29" t="s">
        <v>47</v>
      </c>
      <c r="D26" s="31"/>
      <c r="E26" s="31">
        <f>E7/E18</f>
        <v>6.843833180043489E-2</v>
      </c>
      <c r="F26" s="31">
        <f>F7/F18</f>
        <v>3.7323862865963682E-2</v>
      </c>
      <c r="G26" s="31">
        <f>G7/G18</f>
        <v>3.642807086020456E-2</v>
      </c>
      <c r="H26" s="31">
        <f>H7/H18</f>
        <v>4.2392265445654297E-2</v>
      </c>
      <c r="I26" s="31">
        <f>I7/I18</f>
        <v>4.8569660509783646E-2</v>
      </c>
      <c r="J26" s="31">
        <f>AVERAGE(E26:I26)</f>
        <v>4.6630438296408214E-2</v>
      </c>
      <c r="K26" s="31">
        <f t="shared" ref="K26:N26" si="7">AVERAGE(F26:J26)</f>
        <v>4.2268859595602878E-2</v>
      </c>
      <c r="L26" s="31">
        <f t="shared" si="7"/>
        <v>4.3257858941530725E-2</v>
      </c>
      <c r="M26" s="31">
        <f t="shared" si="7"/>
        <v>4.4623816557795959E-2</v>
      </c>
      <c r="N26" s="31">
        <f t="shared" si="7"/>
        <v>4.5070126780224283E-2</v>
      </c>
    </row>
    <row r="27" spans="3:14" x14ac:dyDescent="0.2">
      <c r="C27" s="29" t="s">
        <v>48</v>
      </c>
      <c r="D27" s="31"/>
      <c r="E27" s="31">
        <f>E13/E18</f>
        <v>2.4778135792467886E-2</v>
      </c>
      <c r="F27" s="31">
        <f>F13/F18</f>
        <v>4.3764406479134724E-2</v>
      </c>
      <c r="G27" s="31">
        <f>G13/G18</f>
        <v>2.1698054626582336E-2</v>
      </c>
      <c r="H27" s="31">
        <f>H13/H18</f>
        <v>2.7082563627834764E-2</v>
      </c>
      <c r="I27" s="31">
        <f>I13/I18</f>
        <v>2.8152465103163039E-2</v>
      </c>
      <c r="J27" s="31">
        <f>I27</f>
        <v>2.8152465103163039E-2</v>
      </c>
      <c r="K27" s="31">
        <f t="shared" ref="K27:N27" si="8">J27</f>
        <v>2.8152465103163039E-2</v>
      </c>
      <c r="L27" s="31">
        <f t="shared" si="8"/>
        <v>2.8152465103163039E-2</v>
      </c>
      <c r="M27" s="31">
        <f t="shared" si="8"/>
        <v>2.8152465103163039E-2</v>
      </c>
      <c r="N27" s="31">
        <f t="shared" si="8"/>
        <v>2.8152465103163039E-2</v>
      </c>
    </row>
    <row r="28" spans="3:14" x14ac:dyDescent="0.2">
      <c r="C28" s="31" t="s">
        <v>49</v>
      </c>
      <c r="D28" s="31"/>
      <c r="E28" s="31">
        <f>E12/E18</f>
        <v>2.2232103156958647E-2</v>
      </c>
      <c r="F28" s="31">
        <f>F12/F18</f>
        <v>1.8956579784515579E-2</v>
      </c>
      <c r="G28" s="31">
        <f>G12/G18</f>
        <v>1.7045303338094012E-2</v>
      </c>
      <c r="H28" s="31">
        <f>H12/H18</f>
        <v>1.5110443225830555E-2</v>
      </c>
      <c r="I28" s="31">
        <f>I12/I18</f>
        <v>1.5776033588695147E-2</v>
      </c>
      <c r="J28" s="31">
        <f>I28</f>
        <v>1.5776033588695147E-2</v>
      </c>
      <c r="K28" s="31">
        <f t="shared" ref="K28:N28" si="9">J28</f>
        <v>1.5776033588695147E-2</v>
      </c>
      <c r="L28" s="31">
        <f t="shared" si="9"/>
        <v>1.5776033588695147E-2</v>
      </c>
      <c r="M28" s="31">
        <f t="shared" si="9"/>
        <v>1.5776033588695147E-2</v>
      </c>
      <c r="N28" s="31">
        <f t="shared" si="9"/>
        <v>1.5776033588695147E-2</v>
      </c>
    </row>
    <row r="29" spans="3:14" x14ac:dyDescent="0.2">
      <c r="C29" s="29" t="s">
        <v>50</v>
      </c>
      <c r="D29" s="29"/>
      <c r="E29" s="47">
        <f>E8/E20</f>
        <v>3.1808961829245801E-2</v>
      </c>
      <c r="F29" s="47">
        <f>F8/F20</f>
        <v>0.1696831617515791</v>
      </c>
      <c r="G29" s="47">
        <f>G8/G20</f>
        <v>6.7323013475417637E-2</v>
      </c>
      <c r="H29" s="47">
        <f>H8/H20</f>
        <v>7.7279345844439504E-2</v>
      </c>
      <c r="I29" s="47">
        <f>I8/I20</f>
        <v>9.6385717602386053E-2</v>
      </c>
      <c r="J29" s="47">
        <f>I29</f>
        <v>9.6385717602386053E-2</v>
      </c>
      <c r="K29" s="47">
        <f t="shared" ref="K29:N29" si="10">J29</f>
        <v>9.6385717602386053E-2</v>
      </c>
      <c r="L29" s="47">
        <f t="shared" si="10"/>
        <v>9.6385717602386053E-2</v>
      </c>
      <c r="M29" s="47">
        <f t="shared" si="10"/>
        <v>9.6385717602386053E-2</v>
      </c>
      <c r="N29" s="47">
        <f t="shared" si="10"/>
        <v>9.6385717602386053E-2</v>
      </c>
    </row>
    <row r="30" spans="3:14" x14ac:dyDescent="0.2">
      <c r="C30" s="29" t="s">
        <v>41</v>
      </c>
      <c r="D30" s="75"/>
      <c r="E30" s="75">
        <f>E11/E20</f>
        <v>0.22957772450673056</v>
      </c>
      <c r="F30" s="75">
        <f>F11/F20</f>
        <v>0.33811948664326019</v>
      </c>
      <c r="G30" s="75">
        <f>G11/G20</f>
        <v>0.30444061515389664</v>
      </c>
      <c r="H30" s="75">
        <f>H11/H20</f>
        <v>0.21660780149098369</v>
      </c>
      <c r="I30" s="75">
        <f>I11/I20</f>
        <v>0.22068001478750243</v>
      </c>
      <c r="J30" s="75">
        <f>I30</f>
        <v>0.22068001478750243</v>
      </c>
      <c r="K30" s="75">
        <f t="shared" ref="K30:N30" si="11">J30</f>
        <v>0.22068001478750243</v>
      </c>
      <c r="L30" s="75">
        <f t="shared" si="11"/>
        <v>0.22068001478750243</v>
      </c>
      <c r="M30" s="75">
        <f t="shared" si="11"/>
        <v>0.22068001478750243</v>
      </c>
      <c r="N30" s="75">
        <f t="shared" si="11"/>
        <v>0.22068001478750243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F545-2B0C-3048-B1D1-6A68D6A27426}">
  <dimension ref="B4:H29"/>
  <sheetViews>
    <sheetView showGridLines="0" topLeftCell="A2" zoomScale="115" workbookViewId="0">
      <selection activeCell="C21" sqref="C21"/>
    </sheetView>
  </sheetViews>
  <sheetFormatPr baseColWidth="10" defaultRowHeight="16" x14ac:dyDescent="0.2"/>
  <cols>
    <col min="2" max="2" width="29.83203125" bestFit="1" customWidth="1"/>
    <col min="3" max="3" width="21.6640625" customWidth="1"/>
  </cols>
  <sheetData>
    <row r="4" spans="2:7" x14ac:dyDescent="0.2">
      <c r="B4" s="123" t="s">
        <v>52</v>
      </c>
      <c r="C4" s="121"/>
      <c r="E4" s="19"/>
      <c r="F4" s="19"/>
      <c r="G4" s="19"/>
    </row>
    <row r="5" spans="2:7" x14ac:dyDescent="0.2">
      <c r="B5" s="19" t="s">
        <v>258</v>
      </c>
      <c r="C5" s="49">
        <v>94756</v>
      </c>
      <c r="E5" s="19"/>
      <c r="F5" s="19"/>
      <c r="G5" s="19"/>
    </row>
    <row r="6" spans="2:7" x14ac:dyDescent="0.2">
      <c r="B6" s="19" t="s">
        <v>259</v>
      </c>
      <c r="C6" s="38">
        <f>'Financials of TCS'!H8</f>
        <v>9392</v>
      </c>
      <c r="E6" s="19"/>
      <c r="F6" s="19"/>
      <c r="G6" s="19"/>
    </row>
    <row r="7" spans="2:7" x14ac:dyDescent="0.2">
      <c r="B7" s="19"/>
      <c r="C7" s="19"/>
      <c r="E7" s="19"/>
      <c r="F7" s="19"/>
      <c r="G7" s="19"/>
    </row>
    <row r="8" spans="2:7" x14ac:dyDescent="0.2">
      <c r="B8" s="19" t="s">
        <v>53</v>
      </c>
      <c r="C8" s="30">
        <f>'Financials of TCS'!Q15/WACC!C6</f>
        <v>8.4752981260647356E-2</v>
      </c>
      <c r="E8" s="19"/>
      <c r="F8" s="19"/>
      <c r="G8" s="19"/>
    </row>
    <row r="9" spans="2:7" x14ac:dyDescent="0.2">
      <c r="B9" s="19" t="s">
        <v>54</v>
      </c>
      <c r="C9" s="50">
        <v>0.3</v>
      </c>
      <c r="D9" s="19"/>
      <c r="E9" s="19"/>
      <c r="F9" s="19"/>
    </row>
    <row r="10" spans="2:7" x14ac:dyDescent="0.2">
      <c r="B10" s="19" t="s">
        <v>55</v>
      </c>
      <c r="C10" s="51">
        <f>C6/SUM(C5:C6)</f>
        <v>9.0179360141337331E-2</v>
      </c>
      <c r="E10" s="19"/>
      <c r="F10" s="19"/>
      <c r="G10" s="19"/>
    </row>
    <row r="11" spans="2:7" x14ac:dyDescent="0.2">
      <c r="B11" s="39" t="s">
        <v>56</v>
      </c>
      <c r="C11" s="52">
        <f>C8*(1-C9)</f>
        <v>5.9327086882453146E-2</v>
      </c>
      <c r="E11" s="19"/>
      <c r="F11" s="19"/>
      <c r="G11" s="19"/>
    </row>
    <row r="12" spans="2:7" x14ac:dyDescent="0.2">
      <c r="B12" s="23"/>
      <c r="C12" s="53"/>
      <c r="E12" s="19"/>
      <c r="F12" s="19"/>
      <c r="G12" s="19"/>
    </row>
    <row r="13" spans="2:7" x14ac:dyDescent="0.2">
      <c r="B13" s="19" t="s">
        <v>260</v>
      </c>
      <c r="C13" s="54">
        <v>6.9000000000000006E-2</v>
      </c>
      <c r="E13" s="19"/>
      <c r="F13" s="19"/>
      <c r="G13" s="19"/>
    </row>
    <row r="14" spans="2:7" x14ac:dyDescent="0.2">
      <c r="B14" s="19" t="s">
        <v>57</v>
      </c>
      <c r="C14" s="54">
        <f>C13+C15</f>
        <v>0.13980000000000001</v>
      </c>
      <c r="E14" s="19"/>
      <c r="F14" s="19"/>
      <c r="G14" s="19"/>
    </row>
    <row r="15" spans="2:7" x14ac:dyDescent="0.2">
      <c r="B15" s="19" t="s">
        <v>58</v>
      </c>
      <c r="C15" s="48">
        <v>7.0800000000000002E-2</v>
      </c>
      <c r="E15" s="19"/>
      <c r="F15" s="19"/>
      <c r="G15" s="19"/>
    </row>
    <row r="16" spans="2:7" x14ac:dyDescent="0.2">
      <c r="B16" s="19" t="s">
        <v>59</v>
      </c>
      <c r="C16" s="55">
        <v>0.2</v>
      </c>
      <c r="E16" s="19"/>
      <c r="F16" s="19"/>
      <c r="G16" s="19"/>
    </row>
    <row r="17" spans="2:8" x14ac:dyDescent="0.2">
      <c r="B17" s="19" t="s">
        <v>60</v>
      </c>
      <c r="C17" s="51">
        <f>C5/SUM(C5:C6)</f>
        <v>0.90982063985866268</v>
      </c>
      <c r="E17" s="19"/>
      <c r="F17" s="19"/>
      <c r="G17" s="19"/>
    </row>
    <row r="18" spans="2:8" x14ac:dyDescent="0.2">
      <c r="B18" s="39" t="s">
        <v>61</v>
      </c>
      <c r="C18" s="52">
        <f>C13+C16*(C15)</f>
        <v>8.3160000000000012E-2</v>
      </c>
      <c r="E18" s="19"/>
      <c r="F18" s="19"/>
      <c r="G18" s="19">
        <v>1</v>
      </c>
    </row>
    <row r="19" spans="2:8" x14ac:dyDescent="0.2">
      <c r="B19" s="19"/>
      <c r="C19" s="19"/>
      <c r="E19" s="19"/>
      <c r="F19" s="19"/>
      <c r="G19" s="19"/>
    </row>
    <row r="20" spans="2:8" x14ac:dyDescent="0.2">
      <c r="B20" s="27" t="s">
        <v>62</v>
      </c>
      <c r="C20" s="56">
        <f>C11*C10+C18*C17</f>
        <v>8.1010763144755554E-2</v>
      </c>
      <c r="E20" s="19"/>
      <c r="F20" s="19"/>
      <c r="G20" s="19"/>
    </row>
    <row r="21" spans="2:8" x14ac:dyDescent="0.2">
      <c r="D21" s="19"/>
      <c r="E21" s="19"/>
      <c r="F21" s="19"/>
      <c r="G21" s="19"/>
    </row>
    <row r="22" spans="2:8" x14ac:dyDescent="0.2">
      <c r="C22" s="19"/>
      <c r="D22" s="19"/>
      <c r="E22" s="19"/>
      <c r="F22" s="19"/>
      <c r="G22" s="19"/>
      <c r="H22" s="19"/>
    </row>
    <row r="23" spans="2:8" x14ac:dyDescent="0.2">
      <c r="C23" s="19"/>
      <c r="D23" s="19"/>
      <c r="E23" s="19"/>
      <c r="F23" s="19"/>
      <c r="G23" s="19"/>
      <c r="H23" s="19"/>
    </row>
    <row r="24" spans="2:8" x14ac:dyDescent="0.2">
      <c r="C24" s="19"/>
      <c r="D24" s="81"/>
      <c r="E24" s="19"/>
      <c r="F24" s="19"/>
      <c r="G24" s="19"/>
      <c r="H24" s="19"/>
    </row>
    <row r="25" spans="2:8" x14ac:dyDescent="0.2">
      <c r="C25" s="19"/>
      <c r="D25" s="19"/>
      <c r="E25" s="19"/>
      <c r="F25" s="19"/>
      <c r="G25" s="19"/>
      <c r="H25" s="19"/>
    </row>
    <row r="26" spans="2:8" x14ac:dyDescent="0.2">
      <c r="C26" s="36"/>
      <c r="D26" s="36"/>
      <c r="E26" s="36"/>
      <c r="F26" s="36"/>
      <c r="G26" s="36"/>
      <c r="H26" s="36"/>
    </row>
    <row r="27" spans="2:8" x14ac:dyDescent="0.2">
      <c r="C27" s="36"/>
      <c r="D27" s="36"/>
      <c r="E27" s="36"/>
      <c r="F27" s="36"/>
      <c r="G27" s="36"/>
      <c r="H27" s="36"/>
    </row>
    <row r="28" spans="2:8" x14ac:dyDescent="0.2">
      <c r="C28" s="36"/>
      <c r="D28" s="36"/>
      <c r="E28" s="36"/>
      <c r="F28" s="36"/>
      <c r="G28" s="36"/>
      <c r="H28" s="36"/>
    </row>
    <row r="29" spans="2:8" x14ac:dyDescent="0.2">
      <c r="C29" s="36"/>
      <c r="D29" s="36"/>
      <c r="E29" s="36"/>
      <c r="F29" s="36"/>
      <c r="G29" s="36"/>
      <c r="H29" s="38"/>
    </row>
  </sheetData>
  <mergeCells count="1">
    <mergeCell ref="B4:C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3CAD-39B2-544B-85A0-9181B12DD40E}">
  <dimension ref="B4:M33"/>
  <sheetViews>
    <sheetView showGridLines="0" zoomScale="87" zoomScaleNormal="100" workbookViewId="0">
      <selection activeCell="F28" sqref="F28"/>
    </sheetView>
  </sheetViews>
  <sheetFormatPr baseColWidth="10" defaultRowHeight="16" x14ac:dyDescent="0.2"/>
  <cols>
    <col min="2" max="2" width="28" bestFit="1" customWidth="1"/>
  </cols>
  <sheetData>
    <row r="4" spans="2:13" x14ac:dyDescent="0.2">
      <c r="B4" s="16" t="s">
        <v>262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2:13" x14ac:dyDescent="0.2">
      <c r="B5" s="17" t="s">
        <v>9</v>
      </c>
      <c r="C5" s="57"/>
      <c r="D5" s="17">
        <v>2021</v>
      </c>
      <c r="E5" s="17">
        <v>2022</v>
      </c>
      <c r="F5" s="17">
        <v>2023</v>
      </c>
      <c r="G5" s="17">
        <v>2024</v>
      </c>
      <c r="H5" s="17">
        <v>2025</v>
      </c>
      <c r="I5" s="17" t="s">
        <v>10</v>
      </c>
      <c r="J5" s="17" t="s">
        <v>11</v>
      </c>
      <c r="K5" s="17" t="s">
        <v>12</v>
      </c>
      <c r="L5" s="82" t="s">
        <v>30</v>
      </c>
      <c r="M5" s="82" t="s">
        <v>167</v>
      </c>
    </row>
    <row r="6" spans="2:13" x14ac:dyDescent="0.2">
      <c r="B6" s="19" t="s">
        <v>25</v>
      </c>
      <c r="C6" s="37"/>
      <c r="D6" s="38">
        <f>FCFF!C20</f>
        <v>30391.850000000006</v>
      </c>
      <c r="E6" s="38">
        <f>FCFF!D20</f>
        <v>30908.87000000001</v>
      </c>
      <c r="F6" s="38">
        <f>FCFF!E20</f>
        <v>37208.319999999992</v>
      </c>
      <c r="G6" s="38">
        <f>FCFF!F20</f>
        <v>44317.74000000002</v>
      </c>
      <c r="H6" s="38">
        <f>FCFF!G20</f>
        <v>40952.460000000006</v>
      </c>
      <c r="I6" s="38">
        <f>FCFF!H20</f>
        <v>47602.596004086517</v>
      </c>
      <c r="J6" s="38">
        <f>FCFF!I20</f>
        <v>52629.908153687589</v>
      </c>
      <c r="K6" s="38">
        <f>FCFF!J20</f>
        <v>54945.800770545116</v>
      </c>
      <c r="L6" s="38">
        <f>FCFF!K20</f>
        <v>59114.093819953625</v>
      </c>
      <c r="M6" s="38">
        <f>FCFF!L20</f>
        <v>64298.155774055827</v>
      </c>
    </row>
    <row r="7" spans="2:13" x14ac:dyDescent="0.2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2:13" x14ac:dyDescent="0.2">
      <c r="B8" s="19" t="s">
        <v>64</v>
      </c>
      <c r="C8" s="19"/>
      <c r="D8" s="19"/>
      <c r="E8" s="19"/>
      <c r="F8" s="19"/>
      <c r="G8" s="19"/>
      <c r="H8" s="19"/>
      <c r="I8" s="19">
        <v>1</v>
      </c>
      <c r="J8" s="19">
        <v>2</v>
      </c>
      <c r="K8" s="19">
        <v>3</v>
      </c>
      <c r="L8" s="19">
        <v>4</v>
      </c>
      <c r="M8" s="19">
        <v>5</v>
      </c>
    </row>
    <row r="9" spans="2:13" x14ac:dyDescent="0.2">
      <c r="B9" s="39" t="s">
        <v>65</v>
      </c>
      <c r="C9" s="39"/>
      <c r="D9" s="39"/>
      <c r="E9" s="39"/>
      <c r="F9" s="39"/>
      <c r="G9" s="40"/>
      <c r="H9" s="40"/>
      <c r="I9" s="40">
        <f>I6/(1+$C$14)^I8</f>
        <v>44035.265537603314</v>
      </c>
      <c r="J9" s="40">
        <f>J6/(1+$C$14)^J8</f>
        <v>45037.323797042016</v>
      </c>
      <c r="K9" s="40">
        <f>K6/(1+$C$14)^K8</f>
        <v>43495.512551676198</v>
      </c>
      <c r="L9" s="40">
        <f>L6/(1+$C$14)^L8</f>
        <v>43288.343218903254</v>
      </c>
      <c r="M9" s="40">
        <f t="shared" ref="M9" si="0">M6/(1+$C$14)^M8</f>
        <v>43556.043836837503</v>
      </c>
    </row>
    <row r="10" spans="2:13" x14ac:dyDescent="0.2"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2:13" x14ac:dyDescent="0.2">
      <c r="B11" s="123" t="s">
        <v>66</v>
      </c>
      <c r="C11" s="123"/>
      <c r="D11" s="19"/>
      <c r="E11" s="123" t="s">
        <v>67</v>
      </c>
      <c r="F11" s="123"/>
      <c r="G11" s="123"/>
      <c r="H11" s="123"/>
      <c r="I11" s="123"/>
      <c r="J11" s="123"/>
      <c r="K11" s="123"/>
      <c r="L11" s="19"/>
      <c r="M11" s="19"/>
    </row>
    <row r="12" spans="2:13" x14ac:dyDescent="0.2">
      <c r="B12" s="19" t="s">
        <v>68</v>
      </c>
      <c r="C12" s="37">
        <f>SUM(I9:M9)</f>
        <v>219412.48894206231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2:13" x14ac:dyDescent="0.2">
      <c r="B13" s="19" t="s">
        <v>69</v>
      </c>
      <c r="C13" s="50">
        <v>0.03</v>
      </c>
      <c r="D13" s="19"/>
      <c r="E13" s="19"/>
      <c r="F13" s="19"/>
      <c r="G13" s="123" t="s">
        <v>69</v>
      </c>
      <c r="H13" s="123"/>
      <c r="I13" s="123"/>
      <c r="J13" s="123"/>
      <c r="K13" s="123"/>
      <c r="L13" s="19"/>
      <c r="M13" s="19"/>
    </row>
    <row r="14" spans="2:13" x14ac:dyDescent="0.2">
      <c r="B14" s="19" t="s">
        <v>62</v>
      </c>
      <c r="C14" s="51">
        <f>WACC!C20</f>
        <v>8.1010763144755554E-2</v>
      </c>
      <c r="D14" s="19"/>
      <c r="E14" s="19"/>
      <c r="F14" s="58">
        <f>C23</f>
        <v>2267.0861798905103</v>
      </c>
      <c r="G14" s="59">
        <f>H14-0.5%</f>
        <v>1.9999999999999997E-2</v>
      </c>
      <c r="H14" s="59">
        <f>I14-0.5%</f>
        <v>2.4999999999999998E-2</v>
      </c>
      <c r="I14" s="59">
        <v>0.03</v>
      </c>
      <c r="J14" s="59">
        <f>I14+0.5%</f>
        <v>3.4999999999999996E-2</v>
      </c>
      <c r="K14" s="59">
        <f>J14+0.5%</f>
        <v>3.9999999999999994E-2</v>
      </c>
      <c r="L14" s="19"/>
      <c r="M14" s="19"/>
    </row>
    <row r="15" spans="2:13" x14ac:dyDescent="0.2">
      <c r="B15" s="19" t="s">
        <v>70</v>
      </c>
      <c r="C15" s="37">
        <f>M9*(1+C13)/(C14-C13)</f>
        <v>879475.67113696458</v>
      </c>
      <c r="D15" s="19"/>
      <c r="E15" s="124" t="s">
        <v>62</v>
      </c>
      <c r="F15" s="59">
        <f>F16-0.5%</f>
        <v>7.1010763144755545E-2</v>
      </c>
      <c r="G15" s="58">
        <f t="dataTable" ref="G15:K19" dt2D="1" dtr="1" r1="C13" r2="C14"/>
        <v>2427.0428292576398</v>
      </c>
      <c r="H15" s="58">
        <v>2631.2326947738338</v>
      </c>
      <c r="I15" s="58">
        <v>2885.2118960298849</v>
      </c>
      <c r="J15" s="58">
        <v>3209.7197890093262</v>
      </c>
      <c r="K15" s="58">
        <v>3638.8713153829758</v>
      </c>
      <c r="L15" s="19"/>
      <c r="M15" s="19"/>
    </row>
    <row r="16" spans="2:13" x14ac:dyDescent="0.2">
      <c r="B16" s="19" t="s">
        <v>71</v>
      </c>
      <c r="C16" s="37">
        <f>C15/(1+C14)^5</f>
        <v>595763.29094232433</v>
      </c>
      <c r="D16" s="37"/>
      <c r="E16" s="124"/>
      <c r="F16" s="59">
        <f>F17-0.5%</f>
        <v>7.601076314475555E-2</v>
      </c>
      <c r="G16" s="58">
        <v>2184.4734181982617</v>
      </c>
      <c r="H16" s="60">
        <v>2345.3219524908836</v>
      </c>
      <c r="I16" s="60">
        <v>2541.1293797248318</v>
      </c>
      <c r="J16" s="60">
        <v>2784.6821821284175</v>
      </c>
      <c r="K16" s="58">
        <v>3095.868319994669</v>
      </c>
      <c r="L16" s="19"/>
      <c r="M16" s="19"/>
    </row>
    <row r="17" spans="2:13" x14ac:dyDescent="0.2">
      <c r="B17" s="19" t="s">
        <v>72</v>
      </c>
      <c r="C17" s="37">
        <f>C16+C12</f>
        <v>815175.77988438657</v>
      </c>
      <c r="D17" s="19"/>
      <c r="E17" s="124"/>
      <c r="F17" s="59">
        <v>8.1010763144755554E-2</v>
      </c>
      <c r="G17" s="58">
        <v>1983.8220952596564</v>
      </c>
      <c r="H17" s="60">
        <v>2112.8108495386937</v>
      </c>
      <c r="I17" s="61">
        <v>2267.0861798905103</v>
      </c>
      <c r="J17" s="60">
        <v>2454.8917800764625</v>
      </c>
      <c r="K17" s="58">
        <v>2688.4916025067205</v>
      </c>
      <c r="L17" s="19"/>
      <c r="M17" s="19"/>
    </row>
    <row r="18" spans="2:13" x14ac:dyDescent="0.2">
      <c r="B18" s="26" t="s">
        <v>73</v>
      </c>
      <c r="C18" s="38">
        <f>'Financials of TCS'!H33</f>
        <v>15463</v>
      </c>
      <c r="D18" s="19"/>
      <c r="E18" s="124"/>
      <c r="F18" s="59">
        <f>F17+0.5%</f>
        <v>8.6010763144755559E-2</v>
      </c>
      <c r="G18" s="58">
        <v>1815.4309593794069</v>
      </c>
      <c r="H18" s="60">
        <v>1920.4266760699286</v>
      </c>
      <c r="I18" s="60">
        <v>2044.168024991736</v>
      </c>
      <c r="J18" s="60">
        <v>2192.167264071089</v>
      </c>
      <c r="K18" s="58">
        <v>2372.3327244786406</v>
      </c>
      <c r="L18" s="19"/>
      <c r="M18" s="19"/>
    </row>
    <row r="19" spans="2:13" x14ac:dyDescent="0.2">
      <c r="B19" s="26" t="s">
        <v>74</v>
      </c>
      <c r="C19" s="38">
        <v>9392</v>
      </c>
      <c r="D19" s="19"/>
      <c r="E19" s="124"/>
      <c r="F19" s="59">
        <f>F18+0.5%</f>
        <v>9.1010763144755563E-2</v>
      </c>
      <c r="G19" s="58">
        <v>1672.3701727732482</v>
      </c>
      <c r="H19" s="58">
        <v>1758.9266772046528</v>
      </c>
      <c r="I19" s="58">
        <v>1859.6702692858285</v>
      </c>
      <c r="J19" s="58">
        <v>1978.400331542533</v>
      </c>
      <c r="K19" s="58">
        <v>2120.4058860556029</v>
      </c>
      <c r="L19" s="19"/>
      <c r="M19" s="19"/>
    </row>
    <row r="20" spans="2:13" x14ac:dyDescent="0.2">
      <c r="B20" s="26" t="s">
        <v>75</v>
      </c>
      <c r="C20" s="37">
        <v>1015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spans="2:13" x14ac:dyDescent="0.2">
      <c r="B21" s="62" t="s">
        <v>76</v>
      </c>
      <c r="C21" s="63">
        <f>C17+C18-C19-C20</f>
        <v>820231.77988438657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spans="2:13" x14ac:dyDescent="0.2">
      <c r="B22" s="19" t="s">
        <v>168</v>
      </c>
      <c r="C22" s="64">
        <v>361.8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spans="2:13" x14ac:dyDescent="0.2">
      <c r="B23" s="27" t="s">
        <v>77</v>
      </c>
      <c r="C23" s="65">
        <f>C21/C22</f>
        <v>2267.0861798905103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</row>
    <row r="29" spans="2:13" x14ac:dyDescent="0.2">
      <c r="F29" s="95"/>
    </row>
    <row r="30" spans="2:13" x14ac:dyDescent="0.2">
      <c r="F30" s="95"/>
    </row>
    <row r="31" spans="2:13" x14ac:dyDescent="0.2">
      <c r="F31" s="95"/>
    </row>
    <row r="32" spans="2:13" x14ac:dyDescent="0.2">
      <c r="F32" s="95"/>
    </row>
    <row r="33" spans="6:6" x14ac:dyDescent="0.2">
      <c r="F33" s="95"/>
    </row>
  </sheetData>
  <mergeCells count="4">
    <mergeCell ref="B11:C11"/>
    <mergeCell ref="E11:K11"/>
    <mergeCell ref="G13:K13"/>
    <mergeCell ref="E15:E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2AE7-386C-EA4E-98A4-9491013469EC}">
  <dimension ref="C3:I19"/>
  <sheetViews>
    <sheetView showGridLines="0" zoomScale="109" workbookViewId="0">
      <selection activeCell="G14" sqref="G14:G19"/>
    </sheetView>
  </sheetViews>
  <sheetFormatPr baseColWidth="10" defaultRowHeight="16" x14ac:dyDescent="0.2"/>
  <cols>
    <col min="3" max="3" width="19.83203125" customWidth="1"/>
    <col min="4" max="4" width="24.5" customWidth="1"/>
    <col min="5" max="5" width="13.5" customWidth="1"/>
    <col min="6" max="6" width="22.5" customWidth="1"/>
    <col min="7" max="7" width="17.6640625" customWidth="1"/>
    <col min="9" max="9" width="12.6640625" customWidth="1"/>
  </cols>
  <sheetData>
    <row r="3" spans="3:9" x14ac:dyDescent="0.2">
      <c r="C3" t="s">
        <v>267</v>
      </c>
      <c r="D3" t="s">
        <v>269</v>
      </c>
      <c r="E3" t="s">
        <v>197</v>
      </c>
      <c r="F3" t="s">
        <v>196</v>
      </c>
      <c r="G3" t="s">
        <v>212</v>
      </c>
      <c r="H3" t="s">
        <v>271</v>
      </c>
      <c r="I3" t="s">
        <v>270</v>
      </c>
    </row>
    <row r="4" spans="3:9" x14ac:dyDescent="0.2">
      <c r="C4" s="107" t="s">
        <v>268</v>
      </c>
      <c r="D4" s="106">
        <f>'Peer Comparison'!C21</f>
        <v>5.0824007927182713</v>
      </c>
      <c r="E4" s="106">
        <f>'Peer Comparison'!D21</f>
        <v>3.9129092582367013</v>
      </c>
      <c r="F4" s="106">
        <f>'Peer Comparison'!E21</f>
        <v>11.726330715347059</v>
      </c>
      <c r="G4" s="106">
        <f>'Peer Comparison'!F21</f>
        <v>2.5882218615535595</v>
      </c>
      <c r="H4" s="106">
        <f>427529.93/51105</f>
        <v>8.3657162704236381</v>
      </c>
      <c r="I4" s="106">
        <f>'Peer Comparison'!H21</f>
        <v>3.4205956098831565</v>
      </c>
    </row>
    <row r="5" spans="3:9" x14ac:dyDescent="0.2">
      <c r="C5" s="108" t="s">
        <v>219</v>
      </c>
      <c r="D5" s="83">
        <f>'Peer Comparison'!C19</f>
        <v>19.251100034121084</v>
      </c>
      <c r="E5" s="83">
        <f>'Peer Comparison'!D19</f>
        <v>16.756833420914344</v>
      </c>
      <c r="F5" s="83">
        <f>'Peer Comparison'!E19</f>
        <v>17.397316839665422</v>
      </c>
      <c r="G5" s="83">
        <f>'Peer Comparison'!F19</f>
        <v>20.105655896323231</v>
      </c>
      <c r="H5" s="83">
        <v>22.56</v>
      </c>
      <c r="I5" s="83">
        <f>'Peer Comparison'!H19</f>
        <v>18.042707856280444</v>
      </c>
    </row>
    <row r="6" spans="3:9" x14ac:dyDescent="0.2">
      <c r="C6" s="109" t="s">
        <v>218</v>
      </c>
      <c r="D6" s="106">
        <f>'Peer Comparison'!C18</f>
        <v>20.107831409312773</v>
      </c>
      <c r="E6" s="106">
        <f>'Peer Comparison'!D18</f>
        <v>16.772698295813168</v>
      </c>
      <c r="F6" s="106">
        <f>'Peer Comparison'!E18</f>
        <v>14.578229798912755</v>
      </c>
      <c r="G6" s="106">
        <f>'Peer Comparison'!F18</f>
        <v>22.987713711029166</v>
      </c>
      <c r="H6" s="106">
        <f>427529.33/16474</f>
        <v>25.951762170693215</v>
      </c>
      <c r="I6" s="106">
        <f>'Peer Comparison'!G17</f>
        <v>29.786740331491711</v>
      </c>
    </row>
    <row r="7" spans="3:9" x14ac:dyDescent="0.2">
      <c r="C7" s="108" t="s">
        <v>217</v>
      </c>
      <c r="D7" s="83">
        <f>'Peer Comparison'!C17</f>
        <v>18.32417375592863</v>
      </c>
      <c r="E7" s="83">
        <f>'Peer Comparison'!D17</f>
        <v>20.571938941214679</v>
      </c>
      <c r="F7" s="83">
        <f>'Peer Comparison'!E17</f>
        <v>18.917635658914726</v>
      </c>
      <c r="G7" s="83">
        <f>'Peer Comparison'!F17</f>
        <v>40.049468977082171</v>
      </c>
      <c r="H7" s="83">
        <f>'Peer Comparison'!G17</f>
        <v>29.786740331491711</v>
      </c>
      <c r="I7" s="83">
        <f>'Peer Comparison'!H17</f>
        <v>27.727741935483873</v>
      </c>
    </row>
    <row r="8" spans="3:9" x14ac:dyDescent="0.2">
      <c r="C8" s="111" t="s">
        <v>220</v>
      </c>
      <c r="D8" s="83">
        <f>'Peer Comparison'!C20</f>
        <v>3.4162397581112627</v>
      </c>
      <c r="E8" s="83">
        <f>'Peer Comparison'!D20</f>
        <v>3.1742499539849072</v>
      </c>
      <c r="F8" s="83">
        <f>'Peer Comparison'!E20</f>
        <v>8.521163234981957</v>
      </c>
      <c r="G8" s="83">
        <f>'Peer Comparison'!F20</f>
        <v>2.5966067788933342</v>
      </c>
      <c r="H8" s="83">
        <f>'Peer Comparison'!G20</f>
        <v>3.0746026434666223</v>
      </c>
      <c r="I8" s="83">
        <f>'Peer Comparison'!H20</f>
        <v>3.2037644607333702</v>
      </c>
    </row>
    <row r="9" spans="3:9" x14ac:dyDescent="0.2">
      <c r="C9" s="110" t="s">
        <v>297</v>
      </c>
      <c r="D9" s="106">
        <f>'Peer Comparison'!C6/46600</f>
        <v>27.846757510729613</v>
      </c>
      <c r="E9" s="106">
        <f>'Peer Comparison'!D6/32030</f>
        <v>19.911491726506398</v>
      </c>
      <c r="F9" s="106">
        <f>'Peer Comparison'!E6/13740</f>
        <v>20.102890829694321</v>
      </c>
      <c r="G9" s="106">
        <f>'Peer Comparison'!F6/5190</f>
        <v>26.424797687861275</v>
      </c>
      <c r="H9" s="106">
        <f>427529.93/21260</f>
        <v>20.109592191909691</v>
      </c>
      <c r="I9" s="106">
        <f>130010.34/3590</f>
        <v>36.214579387186632</v>
      </c>
    </row>
    <row r="13" spans="3:9" x14ac:dyDescent="0.2">
      <c r="C13" s="116" t="s">
        <v>267</v>
      </c>
      <c r="D13" s="116" t="s">
        <v>294</v>
      </c>
      <c r="E13" s="116" t="s">
        <v>295</v>
      </c>
      <c r="F13" s="116" t="s">
        <v>296</v>
      </c>
      <c r="G13" s="117" t="s">
        <v>77</v>
      </c>
    </row>
    <row r="14" spans="3:9" x14ac:dyDescent="0.2">
      <c r="C14" s="115" t="s">
        <v>268</v>
      </c>
      <c r="D14" s="104">
        <f t="shared" ref="D14:D19" si="0">MEDIAN(E4:I4)</f>
        <v>3.9129092582367013</v>
      </c>
      <c r="E14" s="112">
        <f>FCFF!I5</f>
        <v>290954.46419999999</v>
      </c>
      <c r="F14" s="105">
        <f>D14*E14</f>
        <v>1138478.4166934788</v>
      </c>
      <c r="G14" s="83">
        <f t="shared" ref="G14:G19" si="1">F14/361.9</f>
        <v>3145.8370176664243</v>
      </c>
    </row>
    <row r="15" spans="3:9" x14ac:dyDescent="0.2">
      <c r="C15" s="115" t="s">
        <v>219</v>
      </c>
      <c r="D15" s="104">
        <f t="shared" si="0"/>
        <v>18.042707856280444</v>
      </c>
      <c r="E15" s="112">
        <f>FCFF!I9</f>
        <v>79691.037006083279</v>
      </c>
      <c r="F15" s="105">
        <f t="shared" ref="F15:F19" si="2">D15*E15</f>
        <v>1437842.0994647944</v>
      </c>
      <c r="G15" s="83">
        <f t="shared" si="1"/>
        <v>3973.0370253241076</v>
      </c>
    </row>
    <row r="16" spans="3:9" x14ac:dyDescent="0.2">
      <c r="C16" s="115" t="s">
        <v>218</v>
      </c>
      <c r="D16" s="104">
        <f t="shared" si="0"/>
        <v>22.987713711029166</v>
      </c>
      <c r="E16" s="112">
        <f>FCFF!I11</f>
        <v>76880.362164342354</v>
      </c>
      <c r="F16" s="105">
        <f t="shared" si="2"/>
        <v>1767303.7554341406</v>
      </c>
      <c r="G16" s="83">
        <f t="shared" si="1"/>
        <v>4883.4035795361724</v>
      </c>
    </row>
    <row r="17" spans="3:7" x14ac:dyDescent="0.2">
      <c r="C17" s="115" t="s">
        <v>217</v>
      </c>
      <c r="D17" s="104">
        <f t="shared" si="0"/>
        <v>27.727741935483873</v>
      </c>
      <c r="E17" s="112">
        <f>FCFF!I13</f>
        <v>53816.253515039643</v>
      </c>
      <c r="F17" s="105">
        <f t="shared" si="2"/>
        <v>1492203.1893995961</v>
      </c>
      <c r="G17" s="83">
        <f t="shared" si="1"/>
        <v>4123.2472765946286</v>
      </c>
    </row>
    <row r="18" spans="3:7" x14ac:dyDescent="0.2">
      <c r="C18" s="115" t="s">
        <v>298</v>
      </c>
      <c r="D18" s="104">
        <f t="shared" si="0"/>
        <v>3.1742499539849072</v>
      </c>
      <c r="E18" s="112">
        <f>E14</f>
        <v>290954.46419999999</v>
      </c>
      <c r="F18" s="105">
        <f t="shared" si="2"/>
        <v>923562.19459855324</v>
      </c>
      <c r="G18" s="83">
        <f t="shared" si="1"/>
        <v>2551.9817479926865</v>
      </c>
    </row>
    <row r="19" spans="3:7" x14ac:dyDescent="0.2">
      <c r="C19" s="115" t="s">
        <v>297</v>
      </c>
      <c r="D19" s="104">
        <f t="shared" si="0"/>
        <v>20.109592191909691</v>
      </c>
      <c r="E19" s="112">
        <f>FCFF!I20</f>
        <v>52629.908153687589</v>
      </c>
      <c r="F19" s="105">
        <f t="shared" si="2"/>
        <v>1058365.9900683202</v>
      </c>
      <c r="G19" s="83">
        <f t="shared" si="1"/>
        <v>2924.4708208574752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Financials of TCS</vt:lpstr>
      <vt:lpstr>Ratios</vt:lpstr>
      <vt:lpstr>Peer Comparison</vt:lpstr>
      <vt:lpstr>FCFF</vt:lpstr>
      <vt:lpstr>Fixed Assets</vt:lpstr>
      <vt:lpstr>Net Working Capital</vt:lpstr>
      <vt:lpstr>WACC</vt:lpstr>
      <vt:lpstr>DCF</vt:lpstr>
      <vt:lpstr>Comparable Company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Sharma (Student)</dc:creator>
  <cp:lastModifiedBy>Mudit Sharma (Student)</cp:lastModifiedBy>
  <dcterms:created xsi:type="dcterms:W3CDTF">2026-03-29T09:25:47Z</dcterms:created>
  <dcterms:modified xsi:type="dcterms:W3CDTF">2026-04-02T13:17:42Z</dcterms:modified>
</cp:coreProperties>
</file>